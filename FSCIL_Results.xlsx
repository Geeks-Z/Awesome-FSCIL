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4725" activeTab="3"/>
  </bookViews>
  <sheets>
    <sheet name="IN1K-NoShuffle1993" sheetId="4" r:id="rId1"/>
    <sheet name="IN1K-Shuffle1993" sheetId="3" r:id="rId2"/>
    <sheet name="IN1K-Shuffle2025" sheetId="5" r:id="rId3"/>
    <sheet name="IN1K-Shuffle42" sheetId="6" r:id="rId4"/>
    <sheet name="time" sheetId="2" r:id="rId5"/>
    <sheet name="Sheet1" sheetId="1" r:id="rId6"/>
  </sheets>
  <definedNames>
    <definedName name="_xlnm._FilterDatabase" localSheetId="1" hidden="1">'IN1K-Shuffle1993'!$A$1:$P$15</definedName>
    <definedName name="_xlnm._FilterDatabase" localSheetId="2" hidden="1">'IN1K-Shuffle2025'!$A$1:$P$16</definedName>
    <definedName name="_xlnm._FilterDatabase" localSheetId="3" hidden="1">'IN1K-Shuffle42'!$A$1:$P$16</definedName>
    <definedName name="_xlnm._FilterDatabase" localSheetId="5" hidden="1">Sheet1!$A$1:$W$36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<sst xmlns="http://schemas.openxmlformats.org/spreadsheetml/2006/main" count="297" uniqueCount="73">
  <si>
    <t>Method</t>
  </si>
  <si>
    <t>Venue</t>
  </si>
  <si>
    <t>Year</t>
  </si>
  <si>
    <t>CUB200 (T=11)</t>
  </si>
  <si>
    <t>CIFAR100 (T=9)</t>
  </si>
  <si>
    <t>Imagenet-R (T=11)</t>
  </si>
  <si>
    <t>minilmageNet (T=9)</t>
  </si>
  <si>
    <t>Base</t>
  </si>
  <si>
    <t>Last</t>
  </si>
  <si>
    <t>Avg</t>
  </si>
  <si>
    <t>PD</t>
  </si>
  <si>
    <t>BWT</t>
  </si>
  <si>
    <t>FWT</t>
  </si>
  <si>
    <t>Full Finetune</t>
  </si>
  <si>
    <t>SimpleFSCIL</t>
  </si>
  <si>
    <t>L2P</t>
  </si>
  <si>
    <t>CVPR</t>
  </si>
  <si>
    <t>CODA-Prompt</t>
  </si>
  <si>
    <t>LAE</t>
  </si>
  <si>
    <t>ICCV</t>
  </si>
  <si>
    <t>InfLoRA</t>
  </si>
  <si>
    <t>SD-LoRA</t>
  </si>
  <si>
    <t>ICLR</t>
  </si>
  <si>
    <t>ASP</t>
  </si>
  <si>
    <t>ECCV</t>
  </si>
  <si>
    <t>SEC-Prompt</t>
  </si>
  <si>
    <t>TALON-MLP</t>
  </si>
  <si>
    <t>TALON-QV</t>
  </si>
  <si>
    <t>T0-KD</t>
  </si>
  <si>
    <t>Uniform-KD</t>
  </si>
  <si>
    <t>RCARD</t>
  </si>
  <si>
    <t>BC-FSCIL</t>
  </si>
  <si>
    <t>PriViLege</t>
  </si>
  <si>
    <t>涨点</t>
  </si>
  <si>
    <t>CPE-CLIP</t>
  </si>
  <si>
    <t>CUB</t>
  </si>
  <si>
    <t>CIFAR</t>
  </si>
  <si>
    <t>MINI</t>
  </si>
  <si>
    <t>INR</t>
  </si>
  <si>
    <t>Train</t>
  </si>
  <si>
    <t>Epochs</t>
  </si>
  <si>
    <t>Inference</t>
  </si>
  <si>
    <t>Tasks</t>
  </si>
  <si>
    <t>Module</t>
  </si>
  <si>
    <t>Images</t>
  </si>
  <si>
    <t>CUB200 B100Inc10</t>
  </si>
  <si>
    <t>CIFAR-100 B60Inc5</t>
  </si>
  <si>
    <t>minilmageNet B60Inc5</t>
  </si>
  <si>
    <t>Imagenet-R B100Inc10</t>
  </si>
  <si>
    <t>HAcc</t>
  </si>
  <si>
    <t>21K</t>
  </si>
  <si>
    <t>Seq-Finetune</t>
  </si>
  <si>
    <t>PTM-Base</t>
  </si>
  <si>
    <t>MLP-Rank2-IN1K</t>
  </si>
  <si>
    <t>MLP-Rank2-IN21K</t>
  </si>
  <si>
    <t>MLP-Rank4-IN1K</t>
  </si>
  <si>
    <t>MLP-Rank4-IN21K</t>
  </si>
  <si>
    <t>MLP-Rank8-IN1K</t>
  </si>
  <si>
    <t>MLP-Rank8-IN21K</t>
  </si>
  <si>
    <t>MLP-Rank10-IN1K</t>
  </si>
  <si>
    <t>MLP-Rank10-IN21K</t>
  </si>
  <si>
    <t>MLP-Rank16-IN1K</t>
  </si>
  <si>
    <t>MLP-Rank16-IN21K</t>
  </si>
  <si>
    <t>QV-Rank2-IN1K</t>
  </si>
  <si>
    <t>QV-Rank2-IN1K-lr002</t>
  </si>
  <si>
    <t>QV-Rank4-IN1K</t>
  </si>
  <si>
    <t>QV-Rank4-IN1K-lr002</t>
  </si>
  <si>
    <t>QV-Rank8-IN1K-lr002</t>
  </si>
  <si>
    <t>QV-Rank8-IN21K</t>
  </si>
  <si>
    <t>QV-Rank10-IN1K-lr002</t>
  </si>
  <si>
    <t>QV-Rank10-IN21K-lr002</t>
  </si>
  <si>
    <t>QV-Rank16-IN1K</t>
  </si>
  <si>
    <t>QV-Rank16-IN21K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</si>
</sst>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</numFmts>
  <fonts count="31">
    <font>
      <sz val="11"/>
      <color theme="1"/>
      <name val="宋体"/>
      <charset val="134"/>
      <scheme val="minor"/>
    </font>
    <font>
      <b/>
      <sz val="14"/>
      <color rgb="FF262626"/>
      <name val="微软雅黑"/>
      <charset val="134"/>
    </font>
    <font>
      <sz val="16"/>
      <color theme="1"/>
      <name val="微软雅黑"/>
      <charset val="134"/>
    </font>
    <font>
      <sz val="14"/>
      <color theme="1"/>
      <name val="微软雅黑"/>
      <charset val="134"/>
    </font>
    <font>
      <b/>
      <sz val="18"/>
      <color rgb="FFFF0000"/>
      <name val="宋体"/>
      <charset val="134"/>
      <scheme val="minor"/>
    </font>
    <font>
      <sz val="16"/>
      <color rgb="FF262626"/>
      <name val="微软雅黑"/>
      <charset val="134"/>
    </font>
    <font>
      <sz val="14"/>
      <color rgb="FF000000"/>
      <name val="微软雅黑"/>
      <charset val="134"/>
    </font>
    <font>
      <b/>
      <sz val="18"/>
      <color rgb="FFFF0000"/>
      <name val="微软雅黑"/>
      <charset val="134"/>
    </font>
    <font>
      <sz val="16"/>
      <color theme="1"/>
      <name val="宋体"/>
      <charset val="134"/>
      <scheme val="minor"/>
    </font>
    <font>
      <b/>
      <sz val="16"/>
      <color rgb="FFFF0000"/>
      <name val="宋体"/>
      <charset val="134"/>
      <scheme val="minor"/>
    </font>
    <font>
      <b/>
      <sz val="16"/>
      <color theme="1"/>
      <name val="宋体"/>
      <charset val="134"/>
      <scheme val="minor"/>
    </font>
    <font>
      <sz val="14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/>
      <top style="medium">
        <color rgb="FFD9D9D9"/>
      </top>
      <bottom style="medium">
        <color rgb="FFD9D9D9"/>
      </bottom>
      <diagonal/>
    </border>
    <border>
      <left/>
      <right/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/>
      <top style="medium">
        <color rgb="FFD9D9D9"/>
      </top>
      <bottom/>
      <diagonal/>
    </border>
    <border>
      <left/>
      <right/>
      <top style="medium">
        <color rgb="FFD9D9D9"/>
      </top>
      <bottom/>
      <diagonal/>
    </border>
    <border>
      <left style="medium">
        <color rgb="FFD9D9D9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3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20" applyNumberFormat="0" applyAlignment="0" applyProtection="0">
      <alignment vertical="center"/>
    </xf>
    <xf numFmtId="0" fontId="21" fillId="5" borderId="21" applyNumberFormat="0" applyAlignment="0" applyProtection="0">
      <alignment vertical="center"/>
    </xf>
    <xf numFmtId="0" fontId="22" fillId="5" borderId="20" applyNumberFormat="0" applyAlignment="0" applyProtection="0">
      <alignment vertical="center"/>
    </xf>
    <xf numFmtId="0" fontId="23" fillId="6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 wrapText="1"/>
    </xf>
    <xf numFmtId="2" fontId="3" fillId="0" borderId="7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6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6" xfId="0" applyNumberFormat="1" applyFont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8" xfId="0" applyNumberFormat="1" applyFont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2" fontId="6" fillId="0" borderId="8" xfId="0" applyNumberFormat="1" applyFont="1" applyFill="1" applyBorder="1" applyAlignment="1">
      <alignment horizontal="center" vertical="center" wrapText="1"/>
    </xf>
    <xf numFmtId="2" fontId="6" fillId="0" borderId="9" xfId="0" applyNumberFormat="1" applyFont="1" applyFill="1" applyBorder="1" applyAlignment="1">
      <alignment horizontal="center" vertical="center" wrapText="1"/>
    </xf>
    <xf numFmtId="2" fontId="0" fillId="0" borderId="0" xfId="0" applyNumberFormat="1">
      <alignment vertical="center"/>
    </xf>
    <xf numFmtId="0" fontId="0" fillId="0" borderId="6" xfId="0" applyBorder="1">
      <alignment vertical="center"/>
    </xf>
    <xf numFmtId="0" fontId="6" fillId="0" borderId="6" xfId="0" applyFont="1" applyBorder="1" applyAlignment="1">
      <alignment horizontal="center" vertical="center"/>
    </xf>
    <xf numFmtId="2" fontId="6" fillId="0" borderId="6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2" fontId="9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2" fontId="9" fillId="0" borderId="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6" xfId="0" applyFont="1" applyBorder="1">
      <alignment vertical="center"/>
    </xf>
    <xf numFmtId="0" fontId="8" fillId="0" borderId="7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0" fillId="0" borderId="6" xfId="0" applyFont="1" applyBorder="1">
      <alignment vertical="center"/>
    </xf>
    <xf numFmtId="0" fontId="10" fillId="0" borderId="6" xfId="0" applyFont="1" applyBorder="1" applyAlignment="1">
      <alignment horizontal="center" vertical="center"/>
    </xf>
    <xf numFmtId="0" fontId="4" fillId="0" borderId="0" xfId="0" applyFont="1">
      <alignment vertical="center"/>
    </xf>
    <xf numFmtId="176" fontId="8" fillId="0" borderId="6" xfId="0" applyNumberFormat="1" applyFont="1" applyBorder="1">
      <alignment vertical="center"/>
    </xf>
    <xf numFmtId="176" fontId="8" fillId="0" borderId="6" xfId="0" applyNumberFormat="1" applyFon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4" fillId="0" borderId="6" xfId="0" applyFont="1" applyBorder="1">
      <alignment vertical="center"/>
    </xf>
    <xf numFmtId="0" fontId="3" fillId="0" borderId="7" xfId="0" applyNumberFormat="1" applyFont="1" applyBorder="1" applyAlignment="1">
      <alignment horizontal="center" vertical="center" wrapText="1"/>
    </xf>
    <xf numFmtId="0" fontId="3" fillId="0" borderId="7" xfId="0" applyNumberFormat="1" applyFont="1" applyBorder="1" applyAlignment="1">
      <alignment horizontal="center" vertical="center"/>
    </xf>
    <xf numFmtId="0" fontId="6" fillId="0" borderId="9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vertical="center"/>
    </xf>
    <xf numFmtId="2" fontId="11" fillId="0" borderId="6" xfId="0" applyNumberFormat="1" applyFont="1" applyBorder="1" applyAlignment="1">
      <alignment horizontal="center" vertical="center" wrapText="1"/>
    </xf>
    <xf numFmtId="0" fontId="0" fillId="0" borderId="0" xfId="0" applyBorder="1">
      <alignment vertical="center"/>
    </xf>
    <xf numFmtId="0" fontId="0" fillId="0" borderId="7" xfId="0" applyBorder="1">
      <alignment vertical="center"/>
    </xf>
    <xf numFmtId="0" fontId="1" fillId="2" borderId="1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6" fillId="0" borderId="0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2" fontId="6" fillId="0" borderId="6" xfId="0" applyNumberFormat="1" applyFont="1" applyFill="1" applyBorder="1" applyAlignment="1">
      <alignment horizontal="center" vertical="center" wrapText="1"/>
    </xf>
    <xf numFmtId="0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5">
    <dxf>
      <fill>
        <patternFill patternType="solid">
          <bgColor rgb="FF92D050"/>
        </patternFill>
      </fill>
    </dxf>
    <dxf>
      <fill>
        <patternFill patternType="solid">
          <bgColor rgb="FFE16975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43308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rgb="FFFF4343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PivotStylePreset2_Accent1" table="0" count="10" xr9:uid="{267968C8-6FFD-4C36-ACC1-9EA1FD1885CA}">
      <tableStyleElement type="headerRow" dxfId="24"/>
      <tableStyleElement type="totalRow" dxfId="23"/>
      <tableStyleElement type="firstRowStripe" dxfId="22"/>
      <tableStyleElement type="firstColumnStripe" dxfId="21"/>
      <tableStyleElement type="firstSubtotalRow" dxfId="20"/>
      <tableStyleElement type="secondSubtotalRow" dxfId="19"/>
      <tableStyleElement type="firstRowSubheading" dxfId="18"/>
      <tableStyleElement type="secondRowSubheading" dxfId="17"/>
      <tableStyleElement type="pageFieldLabels" dxfId="16"/>
      <tableStyleElement type="pageFieldValues" dxfId="15"/>
    </tableStyle>
  </tableStyles>
  <colors>
    <mruColors>
      <color rgb="00FF4343"/>
      <color rgb="00F43308"/>
      <color rgb="00E1697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29"/>
  <sheetViews>
    <sheetView workbookViewId="0">
      <selection activeCell="F23" sqref="F23"/>
    </sheetView>
  </sheetViews>
  <sheetFormatPr defaultColWidth="8.72972972972973" defaultRowHeight="14.1"/>
  <cols>
    <col min="1" max="1" width="26.4054054054054" customWidth="1"/>
    <col min="2" max="2" width="10.7297297297297" customWidth="1"/>
    <col min="3" max="3" width="8.72972972972973" customWidth="1"/>
    <col min="4" max="6" width="9.18918918918919" customWidth="1"/>
    <col min="7" max="7" width="8.72972972972973" customWidth="1"/>
    <col min="8" max="9" width="9.45045045045045" customWidth="1"/>
    <col min="10" max="12" width="9.18918918918919" customWidth="1"/>
    <col min="13" max="13" width="8.72972972972973" customWidth="1"/>
    <col min="14" max="14" width="9.45045045045045" customWidth="1"/>
    <col min="15" max="17" width="9.18918918918919" customWidth="1"/>
    <col min="18" max="18" width="10.5495495495495" customWidth="1"/>
    <col min="19" max="19" width="8.72972972972973" customWidth="1"/>
    <col min="20" max="20" width="9.45045045045045" customWidth="1"/>
    <col min="21" max="21" width="8.72972972972973" customWidth="1"/>
    <col min="22" max="24" width="9.18918918918919" customWidth="1"/>
    <col min="25" max="25" width="8.72972972972973" customWidth="1"/>
    <col min="26" max="26" width="9.45045045045045" customWidth="1"/>
    <col min="27" max="27" width="9.18918918918919" customWidth="1"/>
  </cols>
  <sheetData>
    <row r="1" ht="20.9" spans="1:35">
      <c r="A1" s="1" t="s">
        <v>0</v>
      </c>
      <c r="B1" s="1" t="s">
        <v>1</v>
      </c>
      <c r="C1" s="1" t="s">
        <v>2</v>
      </c>
      <c r="D1" s="47" t="s">
        <v>3</v>
      </c>
      <c r="E1" s="48"/>
      <c r="F1" s="48"/>
      <c r="G1" s="48"/>
      <c r="H1" s="48"/>
      <c r="I1" s="48"/>
      <c r="J1" s="47" t="s">
        <v>4</v>
      </c>
      <c r="K1" s="48"/>
      <c r="L1" s="48"/>
      <c r="M1" s="48"/>
      <c r="N1" s="48"/>
      <c r="O1" s="48"/>
      <c r="P1" s="59" t="s">
        <v>5</v>
      </c>
      <c r="Q1" s="60"/>
      <c r="R1" s="60"/>
      <c r="S1" s="60"/>
      <c r="T1" s="60"/>
      <c r="U1" s="60"/>
      <c r="V1" s="59" t="s">
        <v>6</v>
      </c>
      <c r="W1" s="60"/>
      <c r="X1" s="60"/>
      <c r="Y1" s="60"/>
      <c r="Z1" s="60"/>
      <c r="AA1" s="60"/>
    </row>
    <row r="2" ht="26.5" customHeight="1" spans="1:35">
      <c r="A2" s="6"/>
      <c r="B2" s="7"/>
      <c r="C2" s="49"/>
      <c r="D2" s="10" t="s">
        <v>7</v>
      </c>
      <c r="E2" s="10" t="s">
        <v>8</v>
      </c>
      <c r="F2" s="10" t="s">
        <v>9</v>
      </c>
      <c r="G2" s="10" t="s">
        <v>10</v>
      </c>
      <c r="H2" s="10" t="s">
        <v>11</v>
      </c>
      <c r="I2" s="10" t="s">
        <v>12</v>
      </c>
      <c r="J2" s="10" t="s">
        <v>7</v>
      </c>
      <c r="K2" s="10" t="s">
        <v>8</v>
      </c>
      <c r="L2" s="10" t="s">
        <v>9</v>
      </c>
      <c r="M2" s="10" t="s">
        <v>10</v>
      </c>
      <c r="N2" s="10" t="s">
        <v>11</v>
      </c>
      <c r="O2" s="10" t="s">
        <v>12</v>
      </c>
      <c r="P2" s="10" t="s">
        <v>7</v>
      </c>
      <c r="Q2" s="10" t="s">
        <v>8</v>
      </c>
      <c r="R2" s="10" t="s">
        <v>9</v>
      </c>
      <c r="S2" s="10" t="s">
        <v>10</v>
      </c>
      <c r="T2" s="10" t="s">
        <v>11</v>
      </c>
      <c r="U2" s="10" t="s">
        <v>12</v>
      </c>
      <c r="V2" s="10" t="s">
        <v>7</v>
      </c>
      <c r="W2" s="10" t="s">
        <v>8</v>
      </c>
      <c r="X2" s="10" t="s">
        <v>9</v>
      </c>
      <c r="Y2" s="10" t="s">
        <v>10</v>
      </c>
      <c r="Z2" s="10" t="s">
        <v>11</v>
      </c>
      <c r="AA2" s="10" t="s">
        <v>12</v>
      </c>
    </row>
    <row r="3" ht="26.5" customHeight="1" spans="1:35">
      <c r="A3" s="9" t="s">
        <v>13</v>
      </c>
      <c r="B3" s="10"/>
      <c r="C3" s="50"/>
      <c r="D3" s="11">
        <v>88.9</v>
      </c>
      <c r="E3" s="11">
        <v>9.41</v>
      </c>
      <c r="F3" s="11">
        <v>15.53</v>
      </c>
      <c r="G3" s="11">
        <f t="shared" ref="G3:G13" si="0">D3-E3</f>
        <v>79.49</v>
      </c>
      <c r="H3" s="11">
        <v>-18.29</v>
      </c>
      <c r="I3" s="11">
        <v>-17.13</v>
      </c>
      <c r="J3" s="11">
        <v>91.8</v>
      </c>
      <c r="K3" s="11">
        <v>40.28</v>
      </c>
      <c r="L3" s="11">
        <v>65.61</v>
      </c>
      <c r="M3" s="11">
        <f t="shared" ref="M3:M13" si="1">J3-K3</f>
        <v>51.52</v>
      </c>
      <c r="N3" s="11">
        <v>-11.57</v>
      </c>
      <c r="O3" s="11">
        <v>34.8</v>
      </c>
      <c r="P3" s="11">
        <v>82.95</v>
      </c>
      <c r="Q3" s="11">
        <v>16.35</v>
      </c>
      <c r="R3" s="11">
        <v>36.39</v>
      </c>
      <c r="S3" s="11">
        <f t="shared" ref="S3:S13" si="2">P3-Q3</f>
        <v>66.6</v>
      </c>
      <c r="T3" s="61">
        <v>-19.55</v>
      </c>
      <c r="U3" s="11">
        <v>15.69</v>
      </c>
      <c r="V3" s="11">
        <v>95.73</v>
      </c>
      <c r="W3" s="11">
        <v>63.81</v>
      </c>
      <c r="X3" s="11">
        <v>79.09</v>
      </c>
      <c r="Y3" s="11">
        <f t="shared" ref="Y3:Y13" si="3">V3-W3</f>
        <v>31.92</v>
      </c>
      <c r="Z3" s="11">
        <v>-12.36</v>
      </c>
      <c r="AA3" s="11">
        <v>9.02</v>
      </c>
    </row>
    <row r="4" ht="26.5" customHeight="1" spans="1:35">
      <c r="A4" s="9" t="s">
        <v>14</v>
      </c>
      <c r="B4" s="10"/>
      <c r="C4" s="50"/>
      <c r="D4" s="10">
        <v>86.25</v>
      </c>
      <c r="E4" s="10">
        <v>76.29</v>
      </c>
      <c r="F4" s="10">
        <v>79.27</v>
      </c>
      <c r="G4" s="11">
        <f t="shared" si="0"/>
        <v>9.95999999999999</v>
      </c>
      <c r="H4" s="10">
        <v>-3.04</v>
      </c>
      <c r="I4" s="10">
        <v>13.67</v>
      </c>
      <c r="J4" s="10">
        <v>76.92</v>
      </c>
      <c r="K4" s="10">
        <v>64.18</v>
      </c>
      <c r="L4" s="10">
        <v>69.54</v>
      </c>
      <c r="M4" s="11">
        <f t="shared" si="1"/>
        <v>12.74</v>
      </c>
      <c r="N4" s="10">
        <v>-2.42</v>
      </c>
      <c r="O4" s="10">
        <v>33.8</v>
      </c>
      <c r="P4" s="11">
        <v>62.49</v>
      </c>
      <c r="Q4" s="11">
        <v>50.93</v>
      </c>
      <c r="R4" s="11">
        <v>55.3</v>
      </c>
      <c r="S4" s="11">
        <f t="shared" si="2"/>
        <v>11.56</v>
      </c>
      <c r="T4" s="11">
        <v>-4.34</v>
      </c>
      <c r="U4" s="11">
        <v>35.89</v>
      </c>
      <c r="V4" s="10">
        <v>94.98</v>
      </c>
      <c r="W4" s="10">
        <v>87.66</v>
      </c>
      <c r="X4" s="10">
        <v>91.05</v>
      </c>
      <c r="Y4" s="11">
        <f t="shared" si="3"/>
        <v>7.32000000000001</v>
      </c>
      <c r="Z4" s="11">
        <v>-1.01</v>
      </c>
      <c r="AA4" s="11">
        <v>-0.47</v>
      </c>
    </row>
    <row r="5" ht="26.5" customHeight="1" spans="1:35">
      <c r="A5" s="9" t="s">
        <v>15</v>
      </c>
      <c r="B5" s="13" t="s">
        <v>16</v>
      </c>
      <c r="C5" s="52">
        <v>2022</v>
      </c>
      <c r="D5" s="14">
        <v>88.81</v>
      </c>
      <c r="E5" s="14">
        <v>47.29</v>
      </c>
      <c r="F5" s="14">
        <v>63.69</v>
      </c>
      <c r="G5" s="11">
        <f t="shared" si="0"/>
        <v>41.52</v>
      </c>
      <c r="H5" s="14">
        <v>-0.28</v>
      </c>
      <c r="I5" s="14">
        <v>11.67</v>
      </c>
      <c r="J5" s="14">
        <v>92.13</v>
      </c>
      <c r="K5" s="14">
        <v>55.16</v>
      </c>
      <c r="L5" s="14">
        <v>71</v>
      </c>
      <c r="M5" s="11">
        <f t="shared" si="1"/>
        <v>36.97</v>
      </c>
      <c r="N5" s="14">
        <v>-0.33</v>
      </c>
      <c r="O5" s="14">
        <v>40.8</v>
      </c>
      <c r="P5" s="11">
        <v>80.49</v>
      </c>
      <c r="Q5" s="11">
        <v>43.12</v>
      </c>
      <c r="R5" s="11">
        <v>58.45</v>
      </c>
      <c r="S5" s="11">
        <f t="shared" si="2"/>
        <v>37.37</v>
      </c>
      <c r="T5" s="11">
        <v>0.47</v>
      </c>
      <c r="U5" s="11">
        <v>38.89</v>
      </c>
      <c r="V5" s="14">
        <v>96.92</v>
      </c>
      <c r="W5" s="14">
        <v>61.84</v>
      </c>
      <c r="X5" s="14">
        <v>76.29</v>
      </c>
      <c r="Y5" s="11">
        <f t="shared" si="3"/>
        <v>35.08</v>
      </c>
      <c r="Z5" s="11">
        <v>-0.52</v>
      </c>
      <c r="AA5" s="11">
        <v>15.52</v>
      </c>
    </row>
    <row r="6" ht="26.5" customHeight="1" spans="1:35">
      <c r="A6" s="9" t="s">
        <v>17</v>
      </c>
      <c r="B6" s="13"/>
      <c r="C6" s="52"/>
      <c r="D6" s="14">
        <v>89.58</v>
      </c>
      <c r="E6" s="14">
        <v>49.79</v>
      </c>
      <c r="F6" s="14">
        <v>65.97</v>
      </c>
      <c r="G6" s="11">
        <f t="shared" si="0"/>
        <v>39.79</v>
      </c>
      <c r="H6" s="14">
        <v>-0.07</v>
      </c>
      <c r="I6" s="14">
        <v>17.78</v>
      </c>
      <c r="J6" s="14">
        <v>93.4</v>
      </c>
      <c r="K6" s="14">
        <v>56.11</v>
      </c>
      <c r="L6" s="14">
        <v>71.97</v>
      </c>
      <c r="M6" s="11">
        <f t="shared" si="1"/>
        <v>37.29</v>
      </c>
      <c r="N6" s="14">
        <v>-0.2</v>
      </c>
      <c r="O6" s="14">
        <v>44.3</v>
      </c>
      <c r="P6" s="13">
        <v>82.03</v>
      </c>
      <c r="Q6" s="13">
        <v>46.03</v>
      </c>
      <c r="R6" s="13">
        <v>60.3</v>
      </c>
      <c r="S6" s="11">
        <f t="shared" si="2"/>
        <v>36</v>
      </c>
      <c r="T6" s="61">
        <v>-0.01</v>
      </c>
      <c r="U6" s="11">
        <v>45.29</v>
      </c>
      <c r="V6" s="14">
        <v>97.68</v>
      </c>
      <c r="W6" s="14">
        <v>64.17</v>
      </c>
      <c r="X6" s="14">
        <v>78.08</v>
      </c>
      <c r="Y6" s="11">
        <f t="shared" si="3"/>
        <v>33.51</v>
      </c>
      <c r="Z6" s="13">
        <v>-0.23</v>
      </c>
      <c r="AA6" s="13">
        <v>13.02</v>
      </c>
    </row>
    <row r="7" ht="26.5" customHeight="1" spans="1:35">
      <c r="A7" s="9" t="s">
        <v>18</v>
      </c>
      <c r="B7" s="13" t="s">
        <v>19</v>
      </c>
      <c r="C7" s="52">
        <v>2023</v>
      </c>
      <c r="D7" s="11">
        <v>88.56</v>
      </c>
      <c r="E7" s="11">
        <v>46.4</v>
      </c>
      <c r="F7" s="11">
        <v>63.45</v>
      </c>
      <c r="G7" s="11">
        <f t="shared" si="0"/>
        <v>42.16</v>
      </c>
      <c r="H7" s="11">
        <v>-0.35</v>
      </c>
      <c r="I7" s="11">
        <v>9.07</v>
      </c>
      <c r="J7" s="11">
        <v>90.53</v>
      </c>
      <c r="K7" s="11">
        <v>53.7</v>
      </c>
      <c r="L7" s="11">
        <v>69.51</v>
      </c>
      <c r="M7" s="11">
        <f t="shared" si="1"/>
        <v>36.83</v>
      </c>
      <c r="N7" s="11">
        <v>-0.13</v>
      </c>
      <c r="O7" s="11">
        <v>45.3</v>
      </c>
      <c r="P7" s="11">
        <v>73.61</v>
      </c>
      <c r="Q7" s="11">
        <v>37.27</v>
      </c>
      <c r="R7" s="11">
        <v>51.68</v>
      </c>
      <c r="S7" s="11">
        <f t="shared" si="2"/>
        <v>36.34</v>
      </c>
      <c r="T7" s="11">
        <v>-1.96</v>
      </c>
      <c r="U7" s="11">
        <v>35.49</v>
      </c>
      <c r="V7" s="11">
        <v>96.68</v>
      </c>
      <c r="W7" s="11">
        <v>58.12</v>
      </c>
      <c r="X7" s="11">
        <v>74.8</v>
      </c>
      <c r="Y7" s="11">
        <f t="shared" si="3"/>
        <v>38.56</v>
      </c>
      <c r="Z7" s="11">
        <v>-0.09</v>
      </c>
      <c r="AA7" s="11">
        <v>-30.98</v>
      </c>
    </row>
    <row r="8" ht="26.5" customHeight="1" spans="1:35">
      <c r="A8" s="9" t="s">
        <v>20</v>
      </c>
      <c r="B8" s="13" t="s">
        <v>16</v>
      </c>
      <c r="C8" s="52">
        <v>2024</v>
      </c>
      <c r="D8" s="11">
        <v>91.12</v>
      </c>
      <c r="E8" s="11">
        <v>45.46</v>
      </c>
      <c r="F8" s="11">
        <v>64.57</v>
      </c>
      <c r="G8" s="11">
        <f t="shared" si="0"/>
        <v>45.66</v>
      </c>
      <c r="H8" s="11">
        <v>-0.08</v>
      </c>
      <c r="I8" s="11">
        <v>14.87</v>
      </c>
      <c r="J8" s="11">
        <v>94.02</v>
      </c>
      <c r="K8" s="11">
        <v>56.27</v>
      </c>
      <c r="L8" s="11">
        <v>72.37</v>
      </c>
      <c r="M8" s="11">
        <f t="shared" si="1"/>
        <v>37.75</v>
      </c>
      <c r="N8" s="11">
        <v>-0.34</v>
      </c>
      <c r="O8" s="11">
        <v>37.3</v>
      </c>
      <c r="P8" s="11">
        <v>85.72</v>
      </c>
      <c r="Q8" s="11">
        <v>43.28</v>
      </c>
      <c r="R8" s="11">
        <v>60.84</v>
      </c>
      <c r="S8" s="11">
        <f t="shared" si="2"/>
        <v>42.44</v>
      </c>
      <c r="T8" s="11">
        <v>-0.35</v>
      </c>
      <c r="U8" s="11">
        <v>44.89</v>
      </c>
      <c r="V8" s="11">
        <v>97.78</v>
      </c>
      <c r="W8" s="11">
        <v>58.6</v>
      </c>
      <c r="X8" s="11">
        <v>75.34</v>
      </c>
      <c r="Y8" s="11">
        <f t="shared" si="3"/>
        <v>39.18</v>
      </c>
      <c r="Z8" s="11">
        <v>-0.11</v>
      </c>
      <c r="AA8" s="11">
        <v>17.02</v>
      </c>
    </row>
    <row r="9" ht="26.5" customHeight="1" spans="1:35">
      <c r="A9" s="9" t="s">
        <v>21</v>
      </c>
      <c r="B9" s="10" t="s">
        <v>22</v>
      </c>
      <c r="C9" s="53">
        <v>2025</v>
      </c>
      <c r="D9" s="11">
        <v>89.5</v>
      </c>
      <c r="E9" s="11">
        <v>66.37</v>
      </c>
      <c r="F9" s="11">
        <v>74.36</v>
      </c>
      <c r="G9" s="11">
        <f t="shared" si="0"/>
        <v>23.13</v>
      </c>
      <c r="H9" s="11">
        <v>-12.63</v>
      </c>
      <c r="I9" s="11">
        <v>23.6</v>
      </c>
      <c r="J9" s="11">
        <v>93.55</v>
      </c>
      <c r="K9" s="11">
        <v>74.34</v>
      </c>
      <c r="L9" s="11">
        <v>81.08</v>
      </c>
      <c r="M9" s="11">
        <f t="shared" si="1"/>
        <v>19.21</v>
      </c>
      <c r="N9" s="11">
        <v>-0.65</v>
      </c>
      <c r="O9" s="11">
        <v>47.5</v>
      </c>
      <c r="P9" s="13">
        <v>85.09</v>
      </c>
      <c r="Q9" s="13">
        <v>52.92</v>
      </c>
      <c r="R9" s="13">
        <v>59.01</v>
      </c>
      <c r="S9" s="11">
        <f t="shared" si="2"/>
        <v>32.17</v>
      </c>
      <c r="T9" s="61">
        <v>-5.28</v>
      </c>
      <c r="U9" s="11">
        <v>35.01</v>
      </c>
      <c r="V9" s="11">
        <v>97.82</v>
      </c>
      <c r="W9" s="11">
        <v>82.54</v>
      </c>
      <c r="X9" s="11">
        <v>85.2</v>
      </c>
      <c r="Y9" s="11">
        <f t="shared" si="3"/>
        <v>15.28</v>
      </c>
      <c r="Z9" s="13">
        <v>0.38</v>
      </c>
      <c r="AA9" s="13">
        <v>13.92</v>
      </c>
    </row>
    <row r="10" ht="26.5" customHeight="1" spans="1:35">
      <c r="A10" s="9" t="s">
        <v>23</v>
      </c>
      <c r="B10" s="13" t="s">
        <v>24</v>
      </c>
      <c r="C10" s="52">
        <v>2024</v>
      </c>
      <c r="D10" s="11">
        <v>87.28</v>
      </c>
      <c r="E10" s="11">
        <v>82.95</v>
      </c>
      <c r="F10" s="11">
        <v>83.3</v>
      </c>
      <c r="G10" s="11">
        <f t="shared" si="0"/>
        <v>4.33</v>
      </c>
      <c r="H10" s="11">
        <v>-1.82</v>
      </c>
      <c r="I10" s="11">
        <v>9.47</v>
      </c>
      <c r="J10" s="11">
        <v>84.12</v>
      </c>
      <c r="K10" s="11">
        <v>64.49</v>
      </c>
      <c r="L10" s="11">
        <v>72.86</v>
      </c>
      <c r="M10" s="11">
        <f t="shared" si="1"/>
        <v>19.63</v>
      </c>
      <c r="N10" s="11">
        <v>-2.68</v>
      </c>
      <c r="O10" s="11">
        <v>12.3</v>
      </c>
      <c r="P10" s="11">
        <v>81.21</v>
      </c>
      <c r="Q10" s="11">
        <v>67.35</v>
      </c>
      <c r="R10" s="11">
        <v>73.4</v>
      </c>
      <c r="S10" s="11">
        <f t="shared" si="2"/>
        <v>13.86</v>
      </c>
      <c r="T10" s="11">
        <v>-3.36</v>
      </c>
      <c r="U10" s="61">
        <v>17.69</v>
      </c>
      <c r="V10" s="11">
        <v>97.03</v>
      </c>
      <c r="W10" s="11">
        <v>94.43</v>
      </c>
      <c r="X10" s="11">
        <v>95.47</v>
      </c>
      <c r="Y10" s="11">
        <f t="shared" si="3"/>
        <v>2.59999999999999</v>
      </c>
      <c r="Z10" s="11">
        <v>-0.9</v>
      </c>
      <c r="AA10" s="11">
        <v>6.52</v>
      </c>
    </row>
    <row r="11" ht="26.5" customHeight="1" spans="1:35">
      <c r="A11" s="9" t="s">
        <v>25</v>
      </c>
      <c r="B11" s="13" t="s">
        <v>16</v>
      </c>
      <c r="C11" s="52">
        <v>2025</v>
      </c>
      <c r="D11" s="11">
        <v>87.62</v>
      </c>
      <c r="E11" s="11">
        <v>83.29</v>
      </c>
      <c r="F11" s="11">
        <v>83.84</v>
      </c>
      <c r="G11" s="11">
        <f t="shared" si="0"/>
        <v>4.33</v>
      </c>
      <c r="H11" s="11">
        <v>-1.01</v>
      </c>
      <c r="I11" s="11">
        <v>9.47</v>
      </c>
      <c r="J11" s="11">
        <v>91.65</v>
      </c>
      <c r="K11" s="11">
        <v>86.9</v>
      </c>
      <c r="L11" s="11">
        <v>89.22</v>
      </c>
      <c r="M11" s="11">
        <f t="shared" si="1"/>
        <v>4.75</v>
      </c>
      <c r="N11" s="11">
        <v>-1.42</v>
      </c>
      <c r="O11" s="11">
        <v>30.8</v>
      </c>
      <c r="P11" s="11">
        <v>82.86</v>
      </c>
      <c r="Q11" s="11">
        <v>72.07</v>
      </c>
      <c r="R11" s="11">
        <v>76.59</v>
      </c>
      <c r="S11" s="11">
        <f t="shared" si="2"/>
        <v>10.79</v>
      </c>
      <c r="T11" s="12">
        <v>-2.72</v>
      </c>
      <c r="U11" s="11">
        <v>26.09</v>
      </c>
      <c r="V11" s="11">
        <v>97.02</v>
      </c>
      <c r="W11" s="11">
        <v>94.66</v>
      </c>
      <c r="X11" s="11">
        <v>95.67</v>
      </c>
      <c r="Y11" s="11">
        <f t="shared" si="3"/>
        <v>2.36</v>
      </c>
      <c r="Z11" s="11">
        <v>-0.4</v>
      </c>
      <c r="AA11" s="11">
        <v>8.52</v>
      </c>
      <c r="AH11" s="62"/>
      <c r="AI11" s="62"/>
    </row>
    <row r="12" ht="26.5" customHeight="1" spans="1:35">
      <c r="A12" s="9" t="s">
        <v>26</v>
      </c>
      <c r="B12" s="10"/>
      <c r="C12" s="50"/>
      <c r="D12" s="13">
        <v>89.24</v>
      </c>
      <c r="E12" s="13">
        <v>85.24</v>
      </c>
      <c r="F12" s="13">
        <v>85.55</v>
      </c>
      <c r="G12" s="11">
        <f t="shared" si="0"/>
        <v>4</v>
      </c>
      <c r="H12" s="13">
        <v>-1.38</v>
      </c>
      <c r="I12" s="13">
        <v>13.27</v>
      </c>
      <c r="J12" s="13">
        <v>93.07</v>
      </c>
      <c r="K12" s="13">
        <v>87.95</v>
      </c>
      <c r="L12" s="13">
        <v>90.26</v>
      </c>
      <c r="M12" s="11">
        <f t="shared" si="1"/>
        <v>5.11999999999999</v>
      </c>
      <c r="N12" s="13">
        <v>-1.24</v>
      </c>
      <c r="O12" s="13">
        <v>39.3</v>
      </c>
      <c r="P12" s="13">
        <v>84.53</v>
      </c>
      <c r="Q12" s="13">
        <v>72.23</v>
      </c>
      <c r="R12" s="13">
        <v>77.54</v>
      </c>
      <c r="S12" s="11">
        <f t="shared" si="2"/>
        <v>12.3</v>
      </c>
      <c r="T12" s="61">
        <v>-5.72</v>
      </c>
      <c r="U12" s="63">
        <v>39.49</v>
      </c>
      <c r="V12" s="13">
        <v>97.68</v>
      </c>
      <c r="W12" s="13">
        <v>95.22</v>
      </c>
      <c r="X12" s="13">
        <v>96.22</v>
      </c>
      <c r="Y12" s="11">
        <f t="shared" si="3"/>
        <v>2.46000000000001</v>
      </c>
      <c r="Z12" s="13">
        <v>-0.77</v>
      </c>
      <c r="AA12" s="13">
        <v>16.02</v>
      </c>
    </row>
    <row r="13" ht="26.5" customHeight="1" spans="1:35">
      <c r="A13" s="17" t="s">
        <v>27</v>
      </c>
      <c r="B13" s="22"/>
      <c r="C13" s="64"/>
      <c r="D13" s="65">
        <v>89.07</v>
      </c>
      <c r="E13" s="65">
        <v>84.31</v>
      </c>
      <c r="F13" s="65">
        <v>84.95</v>
      </c>
      <c r="G13" s="11">
        <f t="shared" si="0"/>
        <v>4.75999999999999</v>
      </c>
      <c r="H13" s="65">
        <v>-1.64</v>
      </c>
      <c r="I13" s="65">
        <v>16.67</v>
      </c>
      <c r="J13" s="65">
        <v>93.1</v>
      </c>
      <c r="K13" s="65">
        <v>87.66</v>
      </c>
      <c r="L13" s="65">
        <v>90.03</v>
      </c>
      <c r="M13" s="11">
        <f t="shared" si="1"/>
        <v>5.44</v>
      </c>
      <c r="N13" s="65">
        <v>-1.14</v>
      </c>
      <c r="O13" s="65">
        <v>47.8</v>
      </c>
      <c r="P13" s="65">
        <v>85.06</v>
      </c>
      <c r="Q13" s="65">
        <v>72.55</v>
      </c>
      <c r="R13" s="65">
        <v>77.99</v>
      </c>
      <c r="S13" s="11">
        <f t="shared" si="2"/>
        <v>12.51</v>
      </c>
      <c r="T13" s="11">
        <v>-5.15</v>
      </c>
      <c r="U13" s="11">
        <v>41.49</v>
      </c>
      <c r="V13" s="65">
        <v>97.85</v>
      </c>
      <c r="W13" s="65">
        <v>95.49</v>
      </c>
      <c r="X13" s="65">
        <v>96.44</v>
      </c>
      <c r="Y13" s="11">
        <f t="shared" si="3"/>
        <v>2.36</v>
      </c>
      <c r="Z13" s="65">
        <v>-0.63</v>
      </c>
      <c r="AA13" s="65">
        <v>16.52</v>
      </c>
    </row>
    <row r="14" ht="21.85" spans="1:35">
      <c r="A14" s="17" t="s">
        <v>28</v>
      </c>
      <c r="B14" s="65"/>
      <c r="C14" s="65"/>
      <c r="D14" s="65">
        <v>88.64</v>
      </c>
      <c r="E14" s="11">
        <v>84.94</v>
      </c>
      <c r="F14" s="65">
        <v>85.23</v>
      </c>
      <c r="G14" s="65">
        <v>3.7</v>
      </c>
      <c r="H14" s="65">
        <v>-1.35</v>
      </c>
      <c r="I14" s="65"/>
      <c r="J14" s="11">
        <v>93.03</v>
      </c>
      <c r="K14" s="65">
        <v>87.66</v>
      </c>
      <c r="L14" s="65">
        <v>90.11</v>
      </c>
      <c r="M14" s="65">
        <v>5.37</v>
      </c>
      <c r="N14" s="65">
        <v>-1.16</v>
      </c>
      <c r="O14" s="11"/>
      <c r="P14" s="65">
        <v>84.86</v>
      </c>
      <c r="Q14" s="65">
        <v>72.65</v>
      </c>
      <c r="R14" s="65">
        <v>77.82</v>
      </c>
      <c r="S14" s="65">
        <v>12.21</v>
      </c>
      <c r="T14" s="11">
        <v>-5.03</v>
      </c>
      <c r="U14" s="65"/>
      <c r="V14" s="65">
        <v>97.87</v>
      </c>
      <c r="W14" s="65">
        <v>95.5</v>
      </c>
      <c r="X14" s="65">
        <v>96.44</v>
      </c>
      <c r="Y14" s="11">
        <v>2.37</v>
      </c>
      <c r="Z14" s="65">
        <v>-0.61</v>
      </c>
      <c r="AA14" s="65"/>
    </row>
    <row r="15" ht="21.85" spans="1:35">
      <c r="A15" s="17" t="s">
        <v>29</v>
      </c>
      <c r="B15" s="65"/>
      <c r="C15" s="65"/>
      <c r="D15" s="65">
        <v>88.64</v>
      </c>
      <c r="E15" s="11">
        <v>84.61</v>
      </c>
      <c r="F15" s="65">
        <v>85.16</v>
      </c>
      <c r="G15" s="65">
        <v>4.03</v>
      </c>
      <c r="H15" s="65">
        <v>-1.72</v>
      </c>
      <c r="I15" s="65"/>
      <c r="J15" s="11">
        <v>93.03</v>
      </c>
      <c r="K15" s="65">
        <v>87.33</v>
      </c>
      <c r="L15" s="65">
        <v>90.27</v>
      </c>
      <c r="M15" s="65">
        <v>5.7</v>
      </c>
      <c r="N15" s="65">
        <v>-1.41</v>
      </c>
      <c r="O15" s="11"/>
      <c r="P15" s="65">
        <v>84.86</v>
      </c>
      <c r="Q15" s="65">
        <v>68.08</v>
      </c>
      <c r="R15" s="65">
        <v>76.16</v>
      </c>
      <c r="S15" s="65">
        <v>16.78</v>
      </c>
      <c r="T15" s="11">
        <v>-7.81</v>
      </c>
      <c r="U15" s="65"/>
      <c r="V15" s="65">
        <v>97.87</v>
      </c>
      <c r="W15" s="65">
        <v>95.54</v>
      </c>
      <c r="X15" s="65">
        <v>96.46</v>
      </c>
      <c r="Y15" s="11">
        <v>2.33</v>
      </c>
      <c r="Z15" s="65">
        <v>-0.58</v>
      </c>
      <c r="AA15" s="65"/>
    </row>
    <row r="16" ht="21.85" spans="1:35">
      <c r="A16" s="17" t="s">
        <v>30</v>
      </c>
      <c r="B16" s="65"/>
      <c r="C16" s="65"/>
      <c r="D16" s="65">
        <v>88.64</v>
      </c>
      <c r="E16" s="11">
        <v>83.8</v>
      </c>
      <c r="F16" s="65">
        <v>84.8</v>
      </c>
      <c r="G16" s="65">
        <v>4.84</v>
      </c>
      <c r="H16" s="65">
        <v>-2.52</v>
      </c>
      <c r="I16" s="65"/>
      <c r="J16" s="11">
        <v>93.03</v>
      </c>
      <c r="K16" s="65">
        <v>88.32</v>
      </c>
      <c r="L16" s="65">
        <v>90.42</v>
      </c>
      <c r="M16" s="65">
        <v>4.71</v>
      </c>
      <c r="N16" s="65">
        <v>-0.8</v>
      </c>
      <c r="O16" s="11"/>
      <c r="P16" s="65">
        <v>84.86</v>
      </c>
      <c r="Q16" s="65">
        <v>72.85</v>
      </c>
      <c r="R16" s="65">
        <v>77.89</v>
      </c>
      <c r="S16" s="65">
        <v>12.01</v>
      </c>
      <c r="T16" s="11">
        <v>-5.79</v>
      </c>
      <c r="U16" s="65"/>
      <c r="V16" s="65">
        <v>97.87</v>
      </c>
      <c r="W16" s="65">
        <v>95.7</v>
      </c>
      <c r="X16" s="65">
        <v>96.55</v>
      </c>
      <c r="Y16" s="11">
        <v>2.17</v>
      </c>
      <c r="Z16" s="65">
        <v>-0.28</v>
      </c>
      <c r="AA16" s="65"/>
    </row>
    <row r="17" ht="21.85" spans="1:27">
      <c r="A17" s="17" t="s">
        <v>31</v>
      </c>
      <c r="B17" s="65"/>
      <c r="C17" s="65"/>
      <c r="D17" s="65">
        <v>88.64</v>
      </c>
      <c r="E17" s="11">
        <v>84.9</v>
      </c>
      <c r="F17" s="65">
        <v>85.23</v>
      </c>
      <c r="G17" s="65">
        <v>3.74</v>
      </c>
      <c r="H17" s="65">
        <v>-1.73</v>
      </c>
      <c r="I17" s="65"/>
      <c r="J17" s="11">
        <v>93.03</v>
      </c>
      <c r="K17" s="65">
        <v>87.69</v>
      </c>
      <c r="L17" s="65">
        <v>90.12</v>
      </c>
      <c r="M17" s="65">
        <v>5.34</v>
      </c>
      <c r="N17" s="65">
        <v>-1.24</v>
      </c>
      <c r="O17" s="11"/>
      <c r="P17" s="65">
        <v>84.86</v>
      </c>
      <c r="Q17" s="65">
        <v>72.82</v>
      </c>
      <c r="R17" s="65">
        <v>77.93</v>
      </c>
      <c r="S17" s="65">
        <v>12.04</v>
      </c>
      <c r="T17" s="11">
        <v>-4.52</v>
      </c>
      <c r="U17" s="65"/>
      <c r="V17" s="65">
        <v>97.87</v>
      </c>
      <c r="W17" s="65">
        <v>95.5</v>
      </c>
      <c r="X17" s="65">
        <v>96.46</v>
      </c>
      <c r="Y17" s="11">
        <v>2.37</v>
      </c>
      <c r="Z17" s="65">
        <v>-0.61</v>
      </c>
      <c r="AA17" s="65"/>
    </row>
    <row r="22" spans="1:27">
      <c r="M22" s="66"/>
      <c r="N22" s="66"/>
      <c r="O22" s="66"/>
      <c r="P22" s="66"/>
      <c r="Q22" s="66"/>
      <c r="R22" s="66"/>
      <c r="V22" s="66"/>
      <c r="W22" s="66"/>
      <c r="X22" s="66"/>
      <c r="Y22" s="66"/>
      <c r="Z22" s="66"/>
      <c r="AA22" s="66"/>
    </row>
    <row r="29" spans="1:27">
      <c r="M29" s="66"/>
      <c r="N29" s="66"/>
      <c r="O29" s="66"/>
      <c r="P29" s="66"/>
      <c r="Q29" s="66"/>
      <c r="R29" s="66"/>
      <c r="V29" s="66"/>
      <c r="W29" s="66"/>
      <c r="X29" s="66"/>
      <c r="Y29" s="66"/>
      <c r="Z29" s="66"/>
      <c r="AA29" s="66"/>
    </row>
  </sheetData>
  <mergeCells count="4">
    <mergeCell ref="D1:I1"/>
    <mergeCell ref="J1:O1"/>
    <mergeCell ref="P1:U1"/>
    <mergeCell ref="V1:AA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"/>
  <sheetViews>
    <sheetView workbookViewId="0">
      <selection activeCell="E22" sqref="E22"/>
    </sheetView>
  </sheetViews>
  <sheetFormatPr defaultColWidth="8.72972972972973" defaultRowHeight="14.1"/>
  <cols>
    <col min="1" max="1" width="28.1081081081081" customWidth="1"/>
    <col min="2" max="2" width="9" customWidth="1"/>
    <col min="3" max="3" width="10.1891891891892" customWidth="1"/>
    <col min="4" max="11" width="10.3603603603604" customWidth="1"/>
    <col min="12" max="13" width="10.3603603603604" hidden="1" customWidth="1"/>
    <col min="14" max="16" width="10.3603603603604" customWidth="1"/>
    <col min="17" max="17" width="10.3603603603604" hidden="1" customWidth="1"/>
    <col min="18" max="20" width="9.11711711711712"/>
    <col min="21" max="22" width="8.72972972972973" customWidth="1"/>
  </cols>
  <sheetData>
    <row r="1" ht="41" customHeight="1" spans="1:32">
      <c r="A1" s="1" t="s">
        <v>0</v>
      </c>
      <c r="B1" s="1" t="s">
        <v>1</v>
      </c>
      <c r="C1" s="1" t="s">
        <v>2</v>
      </c>
      <c r="D1" s="47" t="s">
        <v>3</v>
      </c>
      <c r="E1" s="48"/>
      <c r="F1" s="48"/>
      <c r="G1" s="48"/>
      <c r="H1" s="48"/>
      <c r="I1" s="47" t="s">
        <v>4</v>
      </c>
      <c r="J1" s="48"/>
      <c r="K1" s="48"/>
      <c r="L1" s="48"/>
      <c r="M1" s="48"/>
      <c r="N1" s="47" t="s">
        <v>5</v>
      </c>
      <c r="O1" s="48"/>
      <c r="P1" s="48"/>
      <c r="Q1" s="48"/>
      <c r="R1" s="47" t="s">
        <v>6</v>
      </c>
      <c r="S1" s="48"/>
      <c r="T1" s="48"/>
      <c r="U1" s="48"/>
      <c r="V1" s="48"/>
    </row>
    <row r="2" ht="27.25" customHeight="1" spans="1:32">
      <c r="A2" s="6"/>
      <c r="B2" s="7"/>
      <c r="C2" s="49"/>
      <c r="D2" s="10" t="s">
        <v>7</v>
      </c>
      <c r="E2" s="10" t="s">
        <v>8</v>
      </c>
      <c r="F2" s="10" t="s">
        <v>9</v>
      </c>
      <c r="G2" s="10" t="s">
        <v>10</v>
      </c>
      <c r="H2" s="10" t="s">
        <v>11</v>
      </c>
      <c r="I2" s="10" t="s">
        <v>7</v>
      </c>
      <c r="J2" s="10" t="s">
        <v>8</v>
      </c>
      <c r="K2" s="10" t="s">
        <v>9</v>
      </c>
      <c r="L2" s="10" t="s">
        <v>10</v>
      </c>
      <c r="M2" s="10" t="s">
        <v>11</v>
      </c>
      <c r="N2" s="10" t="s">
        <v>7</v>
      </c>
      <c r="O2" s="10" t="s">
        <v>8</v>
      </c>
      <c r="P2" s="10" t="s">
        <v>9</v>
      </c>
      <c r="Q2" s="10" t="s">
        <v>11</v>
      </c>
      <c r="R2" s="10" t="s">
        <v>7</v>
      </c>
      <c r="S2" s="10" t="s">
        <v>8</v>
      </c>
      <c r="T2" s="10" t="s">
        <v>9</v>
      </c>
      <c r="U2" s="10" t="s">
        <v>10</v>
      </c>
      <c r="V2" s="10" t="s">
        <v>11</v>
      </c>
    </row>
    <row r="3" ht="27.25" customHeight="1" spans="1:32">
      <c r="A3" s="9" t="s">
        <v>13</v>
      </c>
      <c r="B3" s="10"/>
      <c r="C3" s="50"/>
      <c r="D3" s="11">
        <v>88.9</v>
      </c>
      <c r="E3" s="11">
        <v>9.41</v>
      </c>
      <c r="F3" s="11">
        <v>15.53</v>
      </c>
      <c r="G3" s="11">
        <f>D3-E3</f>
        <v>79.49</v>
      </c>
      <c r="H3" s="11"/>
      <c r="I3" s="11">
        <v>91.8</v>
      </c>
      <c r="J3" s="11">
        <v>40.28</v>
      </c>
      <c r="K3" s="11">
        <v>65.61</v>
      </c>
      <c r="L3" s="11">
        <f t="shared" ref="L3:L14" si="0">I3-J3</f>
        <v>51.52</v>
      </c>
      <c r="M3" s="11"/>
      <c r="N3" s="11">
        <v>82.95</v>
      </c>
      <c r="O3" s="11">
        <v>16.35</v>
      </c>
      <c r="P3" s="11">
        <v>36.39</v>
      </c>
      <c r="Q3" s="51"/>
      <c r="R3" s="11">
        <v>95.73</v>
      </c>
      <c r="S3" s="11">
        <v>63.81</v>
      </c>
      <c r="T3" s="11">
        <v>79.09</v>
      </c>
      <c r="U3" s="11">
        <f t="shared" ref="U3:U14" si="1">R3-S3</f>
        <v>31.92</v>
      </c>
      <c r="V3" s="11"/>
    </row>
    <row r="4" ht="27.25" customHeight="1" spans="1:32">
      <c r="A4" s="9" t="s">
        <v>14</v>
      </c>
      <c r="B4" s="10"/>
      <c r="C4" s="50"/>
      <c r="D4" s="10">
        <v>86.25</v>
      </c>
      <c r="E4" s="10">
        <v>76.29</v>
      </c>
      <c r="F4" s="10">
        <v>79.27</v>
      </c>
      <c r="G4" s="11">
        <f t="shared" ref="G4:G14" si="2">D4-E4</f>
        <v>9.95999999999999</v>
      </c>
      <c r="H4" s="10"/>
      <c r="I4" s="10">
        <v>76.92</v>
      </c>
      <c r="J4" s="10">
        <v>64.18</v>
      </c>
      <c r="K4" s="10">
        <v>69.54</v>
      </c>
      <c r="L4" s="11">
        <f t="shared" si="0"/>
        <v>12.74</v>
      </c>
      <c r="M4" s="10"/>
      <c r="N4" s="11">
        <v>62.49</v>
      </c>
      <c r="O4" s="11">
        <v>50.93</v>
      </c>
      <c r="P4" s="11">
        <v>55.3</v>
      </c>
      <c r="Q4" s="51"/>
      <c r="R4" s="10">
        <v>94.98</v>
      </c>
      <c r="S4" s="10">
        <v>87.66</v>
      </c>
      <c r="T4" s="10">
        <v>91.05</v>
      </c>
      <c r="U4" s="11">
        <f t="shared" si="1"/>
        <v>7.32000000000001</v>
      </c>
      <c r="V4" s="11"/>
    </row>
    <row r="5" ht="27.25" customHeight="1" spans="1:32">
      <c r="A5" s="9" t="s">
        <v>15</v>
      </c>
      <c r="B5" s="13" t="s">
        <v>16</v>
      </c>
      <c r="C5" s="52">
        <v>2022</v>
      </c>
      <c r="D5" s="14">
        <v>88.81</v>
      </c>
      <c r="E5" s="14">
        <v>47.29</v>
      </c>
      <c r="F5" s="14">
        <v>63.69</v>
      </c>
      <c r="G5" s="11">
        <f t="shared" si="2"/>
        <v>41.52</v>
      </c>
      <c r="H5" s="14"/>
      <c r="I5" s="14">
        <v>92.13</v>
      </c>
      <c r="J5" s="14">
        <v>55.16</v>
      </c>
      <c r="K5" s="14">
        <v>71</v>
      </c>
      <c r="L5" s="11">
        <f t="shared" si="0"/>
        <v>36.97</v>
      </c>
      <c r="M5" s="14"/>
      <c r="N5" s="11">
        <v>80.49</v>
      </c>
      <c r="O5" s="11">
        <v>43.12</v>
      </c>
      <c r="P5" s="11">
        <v>58.45</v>
      </c>
      <c r="Q5" s="51"/>
      <c r="R5" s="14">
        <v>96.92</v>
      </c>
      <c r="S5" s="14">
        <v>61.84</v>
      </c>
      <c r="T5" s="14">
        <v>76.29</v>
      </c>
      <c r="U5" s="11">
        <f t="shared" si="1"/>
        <v>35.08</v>
      </c>
      <c r="V5" s="11"/>
    </row>
    <row r="6" ht="27.25" customHeight="1" spans="1:32">
      <c r="A6" s="9" t="s">
        <v>17</v>
      </c>
      <c r="B6" s="13"/>
      <c r="C6" s="52"/>
      <c r="D6" s="14">
        <v>89.58</v>
      </c>
      <c r="E6" s="14">
        <v>49.79</v>
      </c>
      <c r="F6" s="14">
        <v>65.97</v>
      </c>
      <c r="G6" s="11">
        <f t="shared" si="2"/>
        <v>39.79</v>
      </c>
      <c r="H6" s="14"/>
      <c r="I6" s="14">
        <v>93.4</v>
      </c>
      <c r="J6" s="14">
        <v>56.11</v>
      </c>
      <c r="K6" s="14">
        <v>71.97</v>
      </c>
      <c r="L6" s="11">
        <f t="shared" si="0"/>
        <v>37.29</v>
      </c>
      <c r="M6" s="14"/>
      <c r="N6" s="13">
        <v>82.03</v>
      </c>
      <c r="O6" s="13">
        <v>46.03</v>
      </c>
      <c r="P6" s="13">
        <v>60.3</v>
      </c>
      <c r="Q6" s="51"/>
      <c r="R6" s="14">
        <v>97.68</v>
      </c>
      <c r="S6" s="14">
        <v>64.17</v>
      </c>
      <c r="T6" s="14">
        <v>78.08</v>
      </c>
      <c r="U6" s="11">
        <f t="shared" si="1"/>
        <v>33.51</v>
      </c>
      <c r="V6" s="13"/>
    </row>
    <row r="7" ht="27.25" customHeight="1" spans="1:32">
      <c r="A7" s="9" t="s">
        <v>18</v>
      </c>
      <c r="B7" s="13" t="s">
        <v>19</v>
      </c>
      <c r="C7" s="52">
        <v>2023</v>
      </c>
      <c r="D7" s="11">
        <v>89.33</v>
      </c>
      <c r="E7" s="11">
        <v>51.23</v>
      </c>
      <c r="F7" s="11">
        <v>67.19</v>
      </c>
      <c r="G7" s="11">
        <f t="shared" si="2"/>
        <v>38.1</v>
      </c>
      <c r="H7" s="11"/>
      <c r="I7" s="11">
        <v>91.9</v>
      </c>
      <c r="J7" s="11">
        <v>56.84</v>
      </c>
      <c r="K7" s="11">
        <v>71.08</v>
      </c>
      <c r="L7" s="11">
        <f t="shared" si="0"/>
        <v>35.06</v>
      </c>
      <c r="M7" s="11"/>
      <c r="N7" s="11">
        <v>78.61</v>
      </c>
      <c r="O7" s="11">
        <v>46.22</v>
      </c>
      <c r="P7" s="11">
        <v>59.98</v>
      </c>
      <c r="Q7" s="51"/>
      <c r="R7" s="11">
        <v>97.57</v>
      </c>
      <c r="S7" s="11">
        <v>67.59</v>
      </c>
      <c r="T7" s="11">
        <v>80.66</v>
      </c>
      <c r="U7" s="11">
        <f t="shared" si="1"/>
        <v>29.98</v>
      </c>
      <c r="V7" s="11"/>
    </row>
    <row r="8" ht="27.25" customHeight="1" spans="1:32">
      <c r="A8" s="9" t="s">
        <v>20</v>
      </c>
      <c r="B8" s="13" t="s">
        <v>16</v>
      </c>
      <c r="C8" s="52">
        <v>2024</v>
      </c>
      <c r="D8" s="11">
        <v>91.12</v>
      </c>
      <c r="E8" s="11">
        <v>45.46</v>
      </c>
      <c r="F8" s="11">
        <v>64.57</v>
      </c>
      <c r="G8" s="11">
        <f t="shared" si="2"/>
        <v>45.66</v>
      </c>
      <c r="H8" s="11"/>
      <c r="I8" s="11">
        <v>93.45</v>
      </c>
      <c r="J8" s="11">
        <v>56.07</v>
      </c>
      <c r="K8" s="11">
        <v>71.98</v>
      </c>
      <c r="L8" s="11">
        <f t="shared" si="0"/>
        <v>37.38</v>
      </c>
      <c r="M8" s="11"/>
      <c r="N8" s="11">
        <v>85.78</v>
      </c>
      <c r="O8" s="11">
        <v>43.3</v>
      </c>
      <c r="P8" s="11">
        <v>60.95</v>
      </c>
      <c r="Q8" s="51"/>
      <c r="R8" s="11">
        <v>97.78</v>
      </c>
      <c r="S8" s="11">
        <v>58.6</v>
      </c>
      <c r="T8" s="11">
        <v>75.34</v>
      </c>
      <c r="U8" s="11">
        <f t="shared" si="1"/>
        <v>39.18</v>
      </c>
      <c r="V8" s="11"/>
    </row>
    <row r="9" ht="27.25" customHeight="1" spans="1:32">
      <c r="A9" s="9" t="s">
        <v>21</v>
      </c>
      <c r="B9" s="10" t="s">
        <v>22</v>
      </c>
      <c r="C9" s="53">
        <v>2025</v>
      </c>
      <c r="D9" s="11">
        <v>89.5</v>
      </c>
      <c r="E9" s="11">
        <v>71.71</v>
      </c>
      <c r="F9" s="11">
        <v>77.07</v>
      </c>
      <c r="G9" s="11">
        <f t="shared" si="2"/>
        <v>17.79</v>
      </c>
      <c r="H9" s="11"/>
      <c r="I9" s="11">
        <v>93.68</v>
      </c>
      <c r="J9" s="11">
        <v>72.92</v>
      </c>
      <c r="K9" s="11">
        <v>80.4</v>
      </c>
      <c r="L9" s="11">
        <f t="shared" si="0"/>
        <v>20.76</v>
      </c>
      <c r="M9" s="11"/>
      <c r="N9" s="13">
        <v>84.93</v>
      </c>
      <c r="O9" s="13">
        <v>58.87</v>
      </c>
      <c r="P9" s="13">
        <v>63.31</v>
      </c>
      <c r="Q9" s="51"/>
      <c r="R9" s="11">
        <v>97.85</v>
      </c>
      <c r="S9" s="11">
        <v>89.37</v>
      </c>
      <c r="T9" s="11">
        <v>93.37</v>
      </c>
      <c r="U9" s="11">
        <f t="shared" si="1"/>
        <v>8.47999999999999</v>
      </c>
      <c r="V9" s="13"/>
    </row>
    <row r="10" ht="27.25" customHeight="1" spans="1:32">
      <c r="A10" s="9" t="s">
        <v>23</v>
      </c>
      <c r="B10" s="13" t="s">
        <v>24</v>
      </c>
      <c r="C10" s="52">
        <v>2024</v>
      </c>
      <c r="D10" s="11">
        <v>92.17</v>
      </c>
      <c r="E10" s="11">
        <v>82.95</v>
      </c>
      <c r="F10" s="11">
        <v>86.68</v>
      </c>
      <c r="G10" s="11">
        <f t="shared" si="2"/>
        <v>9.22</v>
      </c>
      <c r="H10" s="11"/>
      <c r="I10" s="11">
        <v>92.83</v>
      </c>
      <c r="J10" s="11">
        <v>86.39</v>
      </c>
      <c r="K10" s="11">
        <v>89.23</v>
      </c>
      <c r="L10" s="11">
        <f t="shared" si="0"/>
        <v>6.44</v>
      </c>
      <c r="M10" s="11"/>
      <c r="N10" s="11">
        <v>81.51</v>
      </c>
      <c r="O10" s="11">
        <v>71.22</v>
      </c>
      <c r="P10" s="11">
        <v>75.46</v>
      </c>
      <c r="Q10" s="51"/>
      <c r="R10" s="11">
        <v>96.7</v>
      </c>
      <c r="S10" s="11">
        <v>93.92</v>
      </c>
      <c r="T10" s="11">
        <v>95.11</v>
      </c>
      <c r="U10" s="11">
        <f t="shared" si="1"/>
        <v>2.78</v>
      </c>
      <c r="V10" s="11"/>
    </row>
    <row r="11" ht="27.25" customHeight="1" spans="1:32">
      <c r="A11" s="9" t="s">
        <v>32</v>
      </c>
      <c r="B11" s="13"/>
      <c r="C11" s="52"/>
      <c r="D11" s="11">
        <v>82.21</v>
      </c>
      <c r="E11" s="11">
        <v>75.08</v>
      </c>
      <c r="F11" s="11">
        <v>77.5</v>
      </c>
      <c r="G11" s="11">
        <f t="shared" si="2"/>
        <v>7.13</v>
      </c>
      <c r="H11" s="11"/>
      <c r="I11" s="11">
        <v>90.88</v>
      </c>
      <c r="J11" s="11">
        <v>86.06</v>
      </c>
      <c r="K11" s="11">
        <v>88.08</v>
      </c>
      <c r="L11" s="11">
        <f t="shared" si="0"/>
        <v>4.81999999999999</v>
      </c>
      <c r="M11" s="11"/>
      <c r="N11" s="13"/>
      <c r="O11" s="13"/>
      <c r="P11" s="13"/>
      <c r="Q11" s="55"/>
      <c r="R11" s="11">
        <v>96.68</v>
      </c>
      <c r="S11" s="11">
        <v>94.1</v>
      </c>
      <c r="T11" s="11">
        <v>95.27</v>
      </c>
      <c r="U11" s="11">
        <f t="shared" si="1"/>
        <v>2.58000000000001</v>
      </c>
      <c r="V11" s="13"/>
    </row>
    <row r="12" ht="27.25" customHeight="1" spans="1:32">
      <c r="A12" s="9" t="s">
        <v>25</v>
      </c>
      <c r="B12" s="13" t="s">
        <v>16</v>
      </c>
      <c r="C12" s="52">
        <v>2025</v>
      </c>
      <c r="D12" s="11">
        <v>92.09</v>
      </c>
      <c r="E12" s="11">
        <v>83.8</v>
      </c>
      <c r="F12" s="11">
        <v>87.06</v>
      </c>
      <c r="G12" s="11">
        <f t="shared" si="2"/>
        <v>8.29000000000001</v>
      </c>
      <c r="H12" s="11"/>
      <c r="I12" s="11">
        <v>92.33</v>
      </c>
      <c r="J12" s="11">
        <v>86.94</v>
      </c>
      <c r="K12" s="11">
        <v>89.21</v>
      </c>
      <c r="L12" s="11">
        <f t="shared" si="0"/>
        <v>5.39</v>
      </c>
      <c r="M12" s="11"/>
      <c r="N12" s="11">
        <v>79.77</v>
      </c>
      <c r="O12" s="11">
        <v>70.85</v>
      </c>
      <c r="P12" s="11">
        <v>74.7</v>
      </c>
      <c r="Q12" s="51"/>
      <c r="R12" s="11">
        <v>96.7</v>
      </c>
      <c r="S12" s="11">
        <v>94.22</v>
      </c>
      <c r="T12" s="11">
        <v>95.16</v>
      </c>
      <c r="U12" s="11">
        <f t="shared" si="1"/>
        <v>2.48</v>
      </c>
      <c r="V12" s="11"/>
    </row>
    <row r="13" ht="27.25" customHeight="1" spans="1:32">
      <c r="A13" s="9" t="s">
        <v>26</v>
      </c>
      <c r="B13" s="10"/>
      <c r="C13" s="50"/>
      <c r="D13" s="11">
        <v>92.34</v>
      </c>
      <c r="E13" s="11">
        <v>83.93</v>
      </c>
      <c r="F13" s="11">
        <v>87.16</v>
      </c>
      <c r="G13" s="11">
        <f t="shared" si="2"/>
        <v>8.41</v>
      </c>
      <c r="H13" s="11">
        <v>-0.72</v>
      </c>
      <c r="I13" s="11">
        <v>94.18</v>
      </c>
      <c r="J13" s="11">
        <v>87.52</v>
      </c>
      <c r="K13" s="11">
        <v>90.27</v>
      </c>
      <c r="L13" s="11">
        <f t="shared" si="0"/>
        <v>6.66000000000001</v>
      </c>
      <c r="M13" s="11">
        <v>-1.52</v>
      </c>
      <c r="N13" s="11">
        <v>85.49</v>
      </c>
      <c r="O13" s="11">
        <v>73.1</v>
      </c>
      <c r="P13" s="11">
        <v>78.09</v>
      </c>
      <c r="Q13" s="56">
        <v>-2.02</v>
      </c>
      <c r="R13" s="11">
        <v>97.47</v>
      </c>
      <c r="S13" s="11">
        <v>95.11</v>
      </c>
      <c r="T13" s="11">
        <v>96.05</v>
      </c>
      <c r="U13" s="11">
        <f t="shared" si="1"/>
        <v>2.36</v>
      </c>
      <c r="V13" s="11">
        <v>-0.73</v>
      </c>
      <c r="W13" s="57"/>
      <c r="X13" s="57"/>
      <c r="Y13" s="57"/>
      <c r="Z13" s="57"/>
      <c r="AA13" s="57"/>
      <c r="AB13" s="57"/>
      <c r="AC13" s="57"/>
      <c r="AD13" s="57"/>
      <c r="AE13" s="57"/>
      <c r="AF13" s="57"/>
    </row>
    <row r="14" ht="27.25" customHeight="1" spans="1:32">
      <c r="A14" s="9" t="s">
        <v>27</v>
      </c>
      <c r="B14" s="10"/>
      <c r="C14" s="50"/>
      <c r="D14" s="11">
        <v>92.42</v>
      </c>
      <c r="E14" s="11">
        <v>83.12</v>
      </c>
      <c r="F14" s="11">
        <v>86.92</v>
      </c>
      <c r="G14" s="11">
        <f t="shared" si="2"/>
        <v>9.3</v>
      </c>
      <c r="H14" s="11">
        <v>-1.85</v>
      </c>
      <c r="I14" s="11">
        <v>94.1</v>
      </c>
      <c r="J14" s="11">
        <v>87.99</v>
      </c>
      <c r="K14" s="11">
        <v>90.46</v>
      </c>
      <c r="L14" s="11">
        <f t="shared" si="0"/>
        <v>6.11</v>
      </c>
      <c r="M14" s="11">
        <v>-1.23</v>
      </c>
      <c r="N14" s="11">
        <v>85.46</v>
      </c>
      <c r="O14" s="11">
        <v>73.1</v>
      </c>
      <c r="P14" s="11">
        <v>78.07</v>
      </c>
      <c r="Q14" s="56">
        <v>-1.95</v>
      </c>
      <c r="R14" s="11">
        <v>97.47</v>
      </c>
      <c r="S14" s="11">
        <v>95.35</v>
      </c>
      <c r="T14" s="11">
        <v>96.24</v>
      </c>
      <c r="U14" s="11">
        <f t="shared" si="1"/>
        <v>2.12</v>
      </c>
      <c r="V14" s="11">
        <v>-0.81</v>
      </c>
      <c r="W14" s="57"/>
      <c r="X14" s="57"/>
      <c r="Y14" s="57"/>
      <c r="Z14" s="57"/>
      <c r="AA14" s="57"/>
      <c r="AB14" s="57"/>
      <c r="AC14" s="57"/>
      <c r="AD14" s="57"/>
      <c r="AE14" s="57"/>
      <c r="AF14" s="57"/>
    </row>
    <row r="15" ht="27.25" customHeight="1" spans="1:32">
      <c r="A15" s="31" t="s">
        <v>33</v>
      </c>
      <c r="B15" s="32"/>
      <c r="C15" s="32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5"/>
      <c r="Q15" s="58"/>
      <c r="R15" s="33"/>
      <c r="S15" s="33"/>
      <c r="T15" s="33"/>
      <c r="U15" s="33"/>
      <c r="V15" s="33"/>
    </row>
  </sheetData>
  <autoFilter xmlns:etc="http://www.wps.cn/officeDocument/2017/etCustomData" ref="A1:P15" etc:filterBottomFollowUsedRange="0">
    <extLst/>
  </autoFilter>
  <mergeCells count="4">
    <mergeCell ref="D1:H1"/>
    <mergeCell ref="I1:M1"/>
    <mergeCell ref="N1:Q1"/>
    <mergeCell ref="R1:V1"/>
  </mergeCells>
  <conditionalFormatting sqref="D13">
    <cfRule type="top10" dxfId="0" priority="50" rank="2"/>
  </conditionalFormatting>
  <conditionalFormatting sqref="E13">
    <cfRule type="top10" dxfId="0" priority="7" rank="2"/>
  </conditionalFormatting>
  <conditionalFormatting sqref="F13">
    <cfRule type="top10" dxfId="0" priority="10" rank="2"/>
  </conditionalFormatting>
  <conditionalFormatting sqref="I13">
    <cfRule type="top10" dxfId="0" priority="47" rank="2"/>
  </conditionalFormatting>
  <conditionalFormatting sqref="J13">
    <cfRule type="top10" dxfId="0" priority="46" rank="2"/>
  </conditionalFormatting>
  <conditionalFormatting sqref="K13">
    <cfRule type="top10" dxfId="0" priority="45" rank="2"/>
  </conditionalFormatting>
  <conditionalFormatting sqref="N13">
    <cfRule type="top10" dxfId="0" priority="41" rank="2"/>
  </conditionalFormatting>
  <conditionalFormatting sqref="O13">
    <cfRule type="top10" dxfId="0" priority="40" rank="2"/>
  </conditionalFormatting>
  <conditionalFormatting sqref="P13">
    <cfRule type="top10" dxfId="0" priority="39" rank="2"/>
  </conditionalFormatting>
  <conditionalFormatting sqref="R13">
    <cfRule type="top10" dxfId="0" priority="44" rank="2"/>
  </conditionalFormatting>
  <conditionalFormatting sqref="S13">
    <cfRule type="top10" dxfId="0" priority="43" rank="2"/>
  </conditionalFormatting>
  <conditionalFormatting sqref="T13">
    <cfRule type="top10" dxfId="0" priority="42" rank="2"/>
  </conditionalFormatting>
  <conditionalFormatting sqref="D14">
    <cfRule type="top10" dxfId="0" priority="38" rank="2"/>
  </conditionalFormatting>
  <conditionalFormatting sqref="E14">
    <cfRule type="top10" dxfId="0" priority="37" rank="2"/>
  </conditionalFormatting>
  <conditionalFormatting sqref="F14">
    <cfRule type="top10" dxfId="0" priority="36" rank="2"/>
  </conditionalFormatting>
  <conditionalFormatting sqref="I14">
    <cfRule type="top10" dxfId="0" priority="35" rank="2"/>
  </conditionalFormatting>
  <conditionalFormatting sqref="J14">
    <cfRule type="top10" dxfId="0" priority="34" rank="2"/>
  </conditionalFormatting>
  <conditionalFormatting sqref="K14">
    <cfRule type="top10" dxfId="0" priority="33" rank="2"/>
  </conditionalFormatting>
  <conditionalFormatting sqref="N14">
    <cfRule type="top10" dxfId="0" priority="29" rank="2"/>
  </conditionalFormatting>
  <conditionalFormatting sqref="O14">
    <cfRule type="top10" dxfId="0" priority="28" rank="2"/>
  </conditionalFormatting>
  <conditionalFormatting sqref="P14">
    <cfRule type="top10" dxfId="0" priority="27" rank="2"/>
  </conditionalFormatting>
  <conditionalFormatting sqref="R14">
    <cfRule type="top10" dxfId="0" priority="32" rank="2"/>
  </conditionalFormatting>
  <conditionalFormatting sqref="S14">
    <cfRule type="top10" dxfId="0" priority="31" rank="2"/>
  </conditionalFormatting>
  <conditionalFormatting sqref="T14">
    <cfRule type="top10" dxfId="0" priority="30" rank="2"/>
  </conditionalFormatting>
  <conditionalFormatting sqref="N3:N12">
    <cfRule type="top10" dxfId="1" priority="91" rank="1"/>
    <cfRule type="top10" dxfId="2" priority="92" rank="1"/>
    <cfRule type="top10" dxfId="3" priority="93" rank="1"/>
    <cfRule type="top10" dxfId="4" priority="94" rank="1"/>
    <cfRule type="top10" dxfId="5" priority="95" rank="1"/>
    <cfRule type="top10" dxfId="6" priority="96" rank="1"/>
  </conditionalFormatting>
  <conditionalFormatting sqref="O3:O12">
    <cfRule type="top10" dxfId="1" priority="85" rank="1"/>
    <cfRule type="top10" dxfId="2" priority="86" rank="1"/>
    <cfRule type="top10" dxfId="3" priority="87" rank="1"/>
    <cfRule type="top10" dxfId="4" priority="88" rank="1"/>
    <cfRule type="top10" dxfId="5" priority="89" rank="1"/>
    <cfRule type="top10" dxfId="6" priority="90" rank="1"/>
  </conditionalFormatting>
  <conditionalFormatting sqref="D3 D5:D12">
    <cfRule type="top10" dxfId="1" priority="145" rank="1"/>
    <cfRule type="top10" dxfId="2" priority="146" rank="1"/>
    <cfRule type="top10" dxfId="3" priority="147" rank="1"/>
    <cfRule type="top10" dxfId="4" priority="148" rank="1"/>
    <cfRule type="top10" dxfId="5" priority="149" rank="1"/>
    <cfRule type="top10" dxfId="6" priority="176" rank="1"/>
  </conditionalFormatting>
  <conditionalFormatting sqref="E3 E5:E12">
    <cfRule type="top10" dxfId="1" priority="139" rank="1"/>
    <cfRule type="top10" dxfId="2" priority="140" rank="1"/>
    <cfRule type="top10" dxfId="3" priority="141" rank="1"/>
    <cfRule type="top10" dxfId="4" priority="142" rank="1"/>
    <cfRule type="top10" dxfId="5" priority="143" rank="1"/>
    <cfRule type="top10" dxfId="6" priority="144" rank="1"/>
  </conditionalFormatting>
  <conditionalFormatting sqref="F3:H3 G4:H4 F5:H12 G13:H14">
    <cfRule type="top10" dxfId="1" priority="133" rank="1"/>
    <cfRule type="top10" dxfId="2" priority="134" rank="1"/>
    <cfRule type="top10" dxfId="3" priority="135" rank="1"/>
    <cfRule type="top10" dxfId="4" priority="136" rank="1"/>
    <cfRule type="top10" dxfId="5" priority="137" rank="1"/>
    <cfRule type="top10" dxfId="6" priority="138" rank="1"/>
  </conditionalFormatting>
  <conditionalFormatting sqref="I3 I5:I12">
    <cfRule type="top10" dxfId="1" priority="127" rank="1"/>
    <cfRule type="top10" dxfId="2" priority="128" rank="1"/>
    <cfRule type="top10" dxfId="3" priority="129" rank="1"/>
    <cfRule type="top10" dxfId="4" priority="130" rank="1"/>
    <cfRule type="top10" dxfId="5" priority="131" rank="1"/>
    <cfRule type="top10" dxfId="6" priority="132" rank="1"/>
  </conditionalFormatting>
  <conditionalFormatting sqref="J3 J5:J12">
    <cfRule type="top10" dxfId="1" priority="121" rank="1"/>
    <cfRule type="top10" dxfId="2" priority="122" rank="1"/>
    <cfRule type="top10" dxfId="3" priority="123" rank="1"/>
    <cfRule type="top10" dxfId="4" priority="124" rank="1"/>
    <cfRule type="top10" dxfId="5" priority="125" rank="1"/>
    <cfRule type="top10" dxfId="6" priority="126" rank="1"/>
  </conditionalFormatting>
  <conditionalFormatting sqref="K3:M3 L4:M4 K5:M12 L13:M14">
    <cfRule type="top10" dxfId="1" priority="115" rank="1"/>
    <cfRule type="top10" dxfId="2" priority="116" rank="1"/>
    <cfRule type="top10" dxfId="3" priority="117" rank="1"/>
    <cfRule type="top10" dxfId="4" priority="118" rank="1"/>
    <cfRule type="top10" dxfId="5" priority="119" rank="1"/>
    <cfRule type="top10" dxfId="6" priority="120" rank="1"/>
  </conditionalFormatting>
  <conditionalFormatting sqref="P3:Q12">
    <cfRule type="top10" dxfId="1" priority="79" rank="1"/>
    <cfRule type="top10" dxfId="2" priority="80" rank="1"/>
    <cfRule type="top10" dxfId="3" priority="81" rank="1"/>
    <cfRule type="top10" dxfId="4" priority="82" rank="1"/>
    <cfRule type="top10" dxfId="5" priority="83" rank="1"/>
    <cfRule type="top10" dxfId="6" priority="84" rank="1"/>
  </conditionalFormatting>
  <conditionalFormatting sqref="R3 R5:R12">
    <cfRule type="top10" dxfId="1" priority="109" rank="1"/>
    <cfRule type="top10" dxfId="2" priority="110" rank="1"/>
    <cfRule type="top10" dxfId="3" priority="111" rank="1"/>
    <cfRule type="top10" dxfId="4" priority="112" rank="1"/>
    <cfRule type="top10" dxfId="5" priority="113" rank="1"/>
    <cfRule type="top10" dxfId="6" priority="114" rank="1"/>
  </conditionalFormatting>
  <conditionalFormatting sqref="S3 S5:S12">
    <cfRule type="top10" dxfId="1" priority="103" rank="1"/>
    <cfRule type="top10" dxfId="2" priority="104" rank="1"/>
    <cfRule type="top10" dxfId="3" priority="105" rank="1"/>
    <cfRule type="top10" dxfId="4" priority="106" rank="1"/>
    <cfRule type="top10" dxfId="5" priority="107" rank="1"/>
    <cfRule type="top10" dxfId="6" priority="108" rank="1"/>
  </conditionalFormatting>
  <conditionalFormatting sqref="T3:V3 U4:V4 T5:V12 U13:V14">
    <cfRule type="top10" dxfId="1" priority="97" rank="1"/>
    <cfRule type="top10" dxfId="2" priority="98" rank="1"/>
    <cfRule type="top10" dxfId="3" priority="99" rank="1"/>
    <cfRule type="top10" dxfId="4" priority="100" rank="1"/>
    <cfRule type="top10" dxfId="5" priority="101" rank="1"/>
    <cfRule type="top10" dxfId="6" priority="102" rank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6"/>
  <sheetViews>
    <sheetView workbookViewId="0">
      <selection activeCell="E20" sqref="E20"/>
    </sheetView>
  </sheetViews>
  <sheetFormatPr defaultColWidth="8.72972972972973" defaultRowHeight="14.1"/>
  <cols>
    <col min="1" max="1" width="35.3603603603604" customWidth="1"/>
    <col min="2" max="2" width="9" hidden="1" customWidth="1"/>
    <col min="3" max="3" width="11.4504504504505" hidden="1" customWidth="1"/>
    <col min="4" max="6" width="10.3603603603604" customWidth="1"/>
    <col min="7" max="8" width="10.3603603603604" hidden="1" customWidth="1"/>
    <col min="9" max="11" width="10.3603603603604" customWidth="1"/>
    <col min="12" max="13" width="10.3603603603604" hidden="1" customWidth="1"/>
    <col min="14" max="16" width="10.3603603603604" customWidth="1"/>
    <col min="17" max="17" width="10.3603603603604" hidden="1" customWidth="1"/>
    <col min="18" max="20" width="9.11711711711712"/>
    <col min="21" max="22" width="8.72972972972973" hidden="1" customWidth="1"/>
  </cols>
  <sheetData>
    <row r="1" ht="41" customHeight="1" spans="1:32">
      <c r="A1" s="1" t="s">
        <v>0</v>
      </c>
      <c r="B1" s="1" t="s">
        <v>1</v>
      </c>
      <c r="C1" s="1" t="s">
        <v>2</v>
      </c>
      <c r="D1" s="47" t="s">
        <v>3</v>
      </c>
      <c r="E1" s="48"/>
      <c r="F1" s="48"/>
      <c r="G1" s="48"/>
      <c r="H1" s="48"/>
      <c r="I1" s="47" t="s">
        <v>4</v>
      </c>
      <c r="J1" s="48"/>
      <c r="K1" s="48"/>
      <c r="L1" s="48"/>
      <c r="M1" s="48"/>
      <c r="N1" s="47" t="s">
        <v>5</v>
      </c>
      <c r="O1" s="48"/>
      <c r="P1" s="48"/>
      <c r="Q1" s="48"/>
      <c r="R1" s="47" t="s">
        <v>6</v>
      </c>
      <c r="S1" s="48"/>
      <c r="T1" s="48"/>
      <c r="U1" s="48"/>
      <c r="V1" s="48"/>
    </row>
    <row r="2" ht="27.25" customHeight="1" spans="1:32">
      <c r="A2" s="6"/>
      <c r="B2" s="7"/>
      <c r="C2" s="49"/>
      <c r="D2" s="10" t="s">
        <v>7</v>
      </c>
      <c r="E2" s="10" t="s">
        <v>8</v>
      </c>
      <c r="F2" s="10" t="s">
        <v>9</v>
      </c>
      <c r="G2" s="10" t="s">
        <v>10</v>
      </c>
      <c r="H2" s="10" t="s">
        <v>11</v>
      </c>
      <c r="I2" s="10" t="s">
        <v>7</v>
      </c>
      <c r="J2" s="10" t="s">
        <v>8</v>
      </c>
      <c r="K2" s="10" t="s">
        <v>9</v>
      </c>
      <c r="L2" s="10" t="s">
        <v>10</v>
      </c>
      <c r="M2" s="10" t="s">
        <v>11</v>
      </c>
      <c r="N2" s="10" t="s">
        <v>7</v>
      </c>
      <c r="O2" s="10" t="s">
        <v>8</v>
      </c>
      <c r="P2" s="10" t="s">
        <v>9</v>
      </c>
      <c r="Q2" s="10" t="s">
        <v>11</v>
      </c>
      <c r="R2" s="10" t="s">
        <v>7</v>
      </c>
      <c r="S2" s="10" t="s">
        <v>8</v>
      </c>
      <c r="T2" s="10" t="s">
        <v>9</v>
      </c>
      <c r="U2" s="10" t="s">
        <v>10</v>
      </c>
      <c r="V2" s="10" t="s">
        <v>11</v>
      </c>
    </row>
    <row r="3" ht="27.25" customHeight="1" spans="1:32">
      <c r="A3" s="9" t="s">
        <v>13</v>
      </c>
      <c r="B3" s="10"/>
      <c r="C3" s="50"/>
      <c r="D3" s="11">
        <v>89.77</v>
      </c>
      <c r="E3" s="11">
        <v>9.58</v>
      </c>
      <c r="F3" s="11">
        <v>28.43</v>
      </c>
      <c r="G3" s="11">
        <f t="shared" ref="G3:G15" si="0">D3-E3</f>
        <v>80.19</v>
      </c>
      <c r="H3" s="11"/>
      <c r="I3" s="11">
        <v>92.7</v>
      </c>
      <c r="J3" s="11">
        <v>34.03</v>
      </c>
      <c r="K3" s="11">
        <v>62.46</v>
      </c>
      <c r="L3" s="11">
        <f t="shared" ref="L3:L15" si="1">I3-J3</f>
        <v>58.67</v>
      </c>
      <c r="M3" s="11"/>
      <c r="N3" s="11">
        <v>83.23</v>
      </c>
      <c r="O3" s="11">
        <v>10.53</v>
      </c>
      <c r="P3" s="11">
        <v>23.27</v>
      </c>
      <c r="Q3" s="51"/>
      <c r="R3" s="11">
        <v>96.05</v>
      </c>
      <c r="S3" s="11">
        <v>70.53</v>
      </c>
      <c r="T3" s="11">
        <v>81.13</v>
      </c>
      <c r="U3" s="11">
        <f t="shared" ref="U3:U23" si="2">R3-S3</f>
        <v>25.52</v>
      </c>
      <c r="V3" s="11"/>
    </row>
    <row r="4" ht="27.25" customHeight="1" spans="1:32">
      <c r="A4" s="9" t="s">
        <v>14</v>
      </c>
      <c r="B4" s="10"/>
      <c r="C4" s="50"/>
      <c r="D4" s="10">
        <v>89.86</v>
      </c>
      <c r="E4" s="10">
        <v>74</v>
      </c>
      <c r="F4" s="10">
        <v>80.75</v>
      </c>
      <c r="G4" s="11">
        <f t="shared" si="0"/>
        <v>15.86</v>
      </c>
      <c r="H4" s="10"/>
      <c r="I4" s="10">
        <v>79.83</v>
      </c>
      <c r="J4" s="10">
        <v>64.15</v>
      </c>
      <c r="K4" s="10">
        <v>70.52</v>
      </c>
      <c r="L4" s="11">
        <f t="shared" si="1"/>
        <v>15.68</v>
      </c>
      <c r="M4" s="10"/>
      <c r="N4" s="11">
        <v>64.57</v>
      </c>
      <c r="O4" s="11">
        <v>49.42</v>
      </c>
      <c r="P4" s="11">
        <v>54.92</v>
      </c>
      <c r="Q4" s="51"/>
      <c r="R4" s="10">
        <v>95.25</v>
      </c>
      <c r="S4" s="10">
        <v>86.43</v>
      </c>
      <c r="T4" s="10">
        <v>90.13</v>
      </c>
      <c r="U4" s="11">
        <f t="shared" si="2"/>
        <v>8.81999999999999</v>
      </c>
      <c r="V4" s="11"/>
    </row>
    <row r="5" ht="27.25" customHeight="1" spans="1:32">
      <c r="A5" s="9" t="s">
        <v>15</v>
      </c>
      <c r="B5" s="13" t="s">
        <v>16</v>
      </c>
      <c r="C5" s="52">
        <v>2022</v>
      </c>
      <c r="D5" s="14">
        <v>92.5</v>
      </c>
      <c r="E5" s="14">
        <v>48.3</v>
      </c>
      <c r="F5" s="14">
        <v>65.67</v>
      </c>
      <c r="G5" s="11">
        <f t="shared" si="0"/>
        <v>44.2</v>
      </c>
      <c r="H5" s="14"/>
      <c r="I5" s="14">
        <v>93.25</v>
      </c>
      <c r="J5" s="14">
        <v>55.7</v>
      </c>
      <c r="K5" s="14">
        <v>71.68</v>
      </c>
      <c r="L5" s="11">
        <f t="shared" si="1"/>
        <v>37.55</v>
      </c>
      <c r="M5" s="14"/>
      <c r="N5" s="11">
        <v>80.18</v>
      </c>
      <c r="O5" s="11">
        <v>40.07</v>
      </c>
      <c r="P5" s="11">
        <v>55.58</v>
      </c>
      <c r="Q5" s="51"/>
      <c r="R5" s="14">
        <v>97.35</v>
      </c>
      <c r="S5" s="14">
        <v>61.74</v>
      </c>
      <c r="T5" s="14">
        <v>77.31</v>
      </c>
      <c r="U5" s="11">
        <f t="shared" si="2"/>
        <v>35.61</v>
      </c>
      <c r="V5" s="11"/>
    </row>
    <row r="6" ht="27.25" customHeight="1" spans="1:32">
      <c r="A6" s="9" t="s">
        <v>17</v>
      </c>
      <c r="B6" s="13"/>
      <c r="C6" s="52"/>
      <c r="D6" s="14">
        <v>93.39</v>
      </c>
      <c r="E6" s="14">
        <v>49.96</v>
      </c>
      <c r="F6" s="14">
        <v>67.14</v>
      </c>
      <c r="G6" s="11">
        <f t="shared" si="0"/>
        <v>43.43</v>
      </c>
      <c r="H6" s="14"/>
      <c r="I6" s="14">
        <v>93.8</v>
      </c>
      <c r="J6" s="14">
        <v>56.34</v>
      </c>
      <c r="K6" s="14">
        <v>72.25</v>
      </c>
      <c r="L6" s="11">
        <f t="shared" si="1"/>
        <v>37.46</v>
      </c>
      <c r="M6" s="14"/>
      <c r="N6" s="13">
        <v>81.76</v>
      </c>
      <c r="O6" s="13">
        <v>44.07</v>
      </c>
      <c r="P6" s="13">
        <v>58.13</v>
      </c>
      <c r="Q6" s="51"/>
      <c r="R6" s="14">
        <v>97.77</v>
      </c>
      <c r="S6" s="14">
        <v>63.77</v>
      </c>
      <c r="T6" s="14">
        <v>77.79</v>
      </c>
      <c r="U6" s="11">
        <f t="shared" si="2"/>
        <v>34</v>
      </c>
      <c r="V6" s="13"/>
    </row>
    <row r="7" ht="27.25" customHeight="1" spans="1:32">
      <c r="A7" s="9" t="s">
        <v>18</v>
      </c>
      <c r="B7" s="13" t="s">
        <v>19</v>
      </c>
      <c r="C7" s="52">
        <v>2023</v>
      </c>
      <c r="D7" s="11">
        <v>93.3</v>
      </c>
      <c r="E7" s="11">
        <v>50.81</v>
      </c>
      <c r="F7" s="11">
        <v>67.65</v>
      </c>
      <c r="G7" s="11">
        <f t="shared" si="0"/>
        <v>42.49</v>
      </c>
      <c r="H7" s="11"/>
      <c r="I7" s="11">
        <v>93.05</v>
      </c>
      <c r="J7" s="11">
        <v>56.25</v>
      </c>
      <c r="K7" s="11">
        <v>72.04</v>
      </c>
      <c r="L7" s="11">
        <f t="shared" si="1"/>
        <v>36.8</v>
      </c>
      <c r="M7" s="11"/>
      <c r="N7" s="11">
        <v>79.05</v>
      </c>
      <c r="O7" s="11">
        <v>43.02</v>
      </c>
      <c r="P7" s="11">
        <v>56.82</v>
      </c>
      <c r="Q7" s="51"/>
      <c r="R7" s="11">
        <v>97.47</v>
      </c>
      <c r="S7" s="11">
        <v>66.08</v>
      </c>
      <c r="T7" s="11">
        <v>79.48</v>
      </c>
      <c r="U7" s="11">
        <f t="shared" si="2"/>
        <v>31.39</v>
      </c>
      <c r="V7" s="11"/>
    </row>
    <row r="8" ht="27.25" customHeight="1" spans="1:32">
      <c r="A8" s="9" t="s">
        <v>20</v>
      </c>
      <c r="B8" s="13" t="s">
        <v>16</v>
      </c>
      <c r="C8" s="52">
        <v>2024</v>
      </c>
      <c r="D8" s="11">
        <v>93.12</v>
      </c>
      <c r="E8" s="11">
        <v>44.74</v>
      </c>
      <c r="F8" s="11">
        <v>64.54</v>
      </c>
      <c r="G8" s="11">
        <f t="shared" si="0"/>
        <v>48.38</v>
      </c>
      <c r="H8" s="11"/>
      <c r="I8" s="11">
        <v>94.73</v>
      </c>
      <c r="J8" s="11">
        <v>56.79</v>
      </c>
      <c r="K8" s="11">
        <v>72.98</v>
      </c>
      <c r="L8" s="11">
        <f t="shared" si="1"/>
        <v>37.94</v>
      </c>
      <c r="M8" s="11"/>
      <c r="N8" s="11">
        <v>84.84</v>
      </c>
      <c r="O8" s="11">
        <v>41.32</v>
      </c>
      <c r="P8" s="11">
        <v>58.07</v>
      </c>
      <c r="Q8" s="51"/>
      <c r="R8" s="11">
        <v>97.95</v>
      </c>
      <c r="S8" s="11">
        <v>58.65</v>
      </c>
      <c r="T8" s="11">
        <v>75.39</v>
      </c>
      <c r="U8" s="11">
        <f t="shared" si="2"/>
        <v>39.3</v>
      </c>
      <c r="V8" s="11"/>
    </row>
    <row r="9" ht="27.25" customHeight="1" spans="1:32">
      <c r="A9" s="9" t="s">
        <v>21</v>
      </c>
      <c r="B9" s="10" t="s">
        <v>22</v>
      </c>
      <c r="C9" s="53">
        <v>2025</v>
      </c>
      <c r="D9" s="11">
        <v>93.3</v>
      </c>
      <c r="E9" s="11">
        <v>59.37</v>
      </c>
      <c r="F9" s="11">
        <v>71.02</v>
      </c>
      <c r="G9" s="11">
        <f t="shared" si="0"/>
        <v>33.93</v>
      </c>
      <c r="H9" s="11"/>
      <c r="I9" s="11">
        <v>95.12</v>
      </c>
      <c r="J9" s="11">
        <v>75.18</v>
      </c>
      <c r="K9" s="11">
        <v>82.36</v>
      </c>
      <c r="L9" s="11">
        <f t="shared" si="1"/>
        <v>19.94</v>
      </c>
      <c r="M9" s="11"/>
      <c r="N9" s="13">
        <v>83.85</v>
      </c>
      <c r="O9" s="13">
        <v>50.67</v>
      </c>
      <c r="P9" s="13">
        <v>56.58</v>
      </c>
      <c r="Q9" s="51"/>
      <c r="R9" s="11">
        <v>98.12</v>
      </c>
      <c r="S9" s="11">
        <v>83.62</v>
      </c>
      <c r="T9" s="11">
        <v>86.2</v>
      </c>
      <c r="U9" s="11">
        <f t="shared" si="2"/>
        <v>14.5</v>
      </c>
      <c r="V9" s="13"/>
    </row>
    <row r="10" ht="27.25" customHeight="1" spans="1:32">
      <c r="A10" s="17" t="s">
        <v>34</v>
      </c>
      <c r="B10" s="18" t="s">
        <v>19</v>
      </c>
      <c r="C10" s="54">
        <v>2023</v>
      </c>
      <c r="D10" s="28">
        <v>80.21</v>
      </c>
      <c r="E10" s="28">
        <v>63.32</v>
      </c>
      <c r="F10" s="28">
        <v>69.37</v>
      </c>
      <c r="G10" s="11">
        <f t="shared" si="0"/>
        <v>16.89</v>
      </c>
      <c r="H10" s="28"/>
      <c r="I10" s="28">
        <v>88.32</v>
      </c>
      <c r="J10" s="28">
        <v>79.99</v>
      </c>
      <c r="K10" s="28">
        <v>83.38</v>
      </c>
      <c r="L10" s="11">
        <f t="shared" si="1"/>
        <v>8.33</v>
      </c>
      <c r="M10" s="28"/>
      <c r="N10" s="29"/>
      <c r="O10" s="29"/>
      <c r="P10" s="29"/>
      <c r="Q10" s="51"/>
      <c r="R10" s="28">
        <v>90.14</v>
      </c>
      <c r="S10" s="28">
        <v>81.55</v>
      </c>
      <c r="T10" s="28">
        <v>85.54</v>
      </c>
      <c r="U10" s="11">
        <f t="shared" si="2"/>
        <v>8.59</v>
      </c>
      <c r="V10" s="29"/>
    </row>
    <row r="11" ht="27.25" customHeight="1" spans="1:32">
      <c r="A11" s="9" t="s">
        <v>23</v>
      </c>
      <c r="B11" s="13" t="s">
        <v>24</v>
      </c>
      <c r="C11" s="52">
        <v>2024</v>
      </c>
      <c r="D11" s="11">
        <v>92.24</v>
      </c>
      <c r="E11" s="11">
        <v>82.65</v>
      </c>
      <c r="F11" s="11">
        <v>87.69</v>
      </c>
      <c r="G11" s="11">
        <f t="shared" si="0"/>
        <v>9.59</v>
      </c>
      <c r="H11" s="11"/>
      <c r="I11" s="11">
        <v>93.4</v>
      </c>
      <c r="J11" s="11">
        <v>85.49</v>
      </c>
      <c r="K11" s="11">
        <v>89.01</v>
      </c>
      <c r="L11" s="11">
        <f t="shared" si="1"/>
        <v>7.91</v>
      </c>
      <c r="M11" s="11"/>
      <c r="N11" s="11">
        <v>81.17</v>
      </c>
      <c r="O11" s="11">
        <v>71</v>
      </c>
      <c r="P11" s="11">
        <v>74.85</v>
      </c>
      <c r="Q11" s="51"/>
      <c r="R11" s="11">
        <v>96.6</v>
      </c>
      <c r="S11" s="11">
        <v>93.86</v>
      </c>
      <c r="T11" s="11">
        <v>94.77</v>
      </c>
      <c r="U11" s="11">
        <f t="shared" si="2"/>
        <v>2.73999999999999</v>
      </c>
      <c r="V11" s="11"/>
    </row>
    <row r="12" ht="27.25" customHeight="1" spans="1:32">
      <c r="A12" s="9" t="s">
        <v>32</v>
      </c>
      <c r="B12" s="13"/>
      <c r="C12" s="52"/>
      <c r="D12" s="11">
        <v>82.21</v>
      </c>
      <c r="E12" s="11">
        <v>75.08</v>
      </c>
      <c r="F12" s="11">
        <v>77.5</v>
      </c>
      <c r="G12" s="11">
        <f t="shared" si="0"/>
        <v>7.13</v>
      </c>
      <c r="H12" s="11"/>
      <c r="I12" s="11">
        <v>90.88</v>
      </c>
      <c r="J12" s="11">
        <v>86.06</v>
      </c>
      <c r="K12" s="11">
        <v>88.08</v>
      </c>
      <c r="L12" s="11">
        <f t="shared" si="1"/>
        <v>4.81999999999999</v>
      </c>
      <c r="M12" s="11"/>
      <c r="N12" s="13"/>
      <c r="O12" s="13"/>
      <c r="P12" s="13"/>
      <c r="Q12" s="55"/>
      <c r="R12" s="11">
        <v>96.68</v>
      </c>
      <c r="S12" s="11">
        <v>94.1</v>
      </c>
      <c r="T12" s="11">
        <v>95.27</v>
      </c>
      <c r="U12" s="11">
        <f t="shared" si="2"/>
        <v>2.58000000000001</v>
      </c>
      <c r="V12" s="13"/>
    </row>
    <row r="13" ht="27.25" customHeight="1" spans="1:32">
      <c r="A13" s="9" t="s">
        <v>25</v>
      </c>
      <c r="B13" s="13" t="s">
        <v>16</v>
      </c>
      <c r="C13" s="52">
        <v>2025</v>
      </c>
      <c r="D13" s="11">
        <v>92.95</v>
      </c>
      <c r="E13" s="11">
        <v>83.76</v>
      </c>
      <c r="F13" s="11">
        <v>88.62</v>
      </c>
      <c r="G13" s="11">
        <f t="shared" si="0"/>
        <v>9.19</v>
      </c>
      <c r="H13" s="11"/>
      <c r="I13" s="11">
        <v>93.13</v>
      </c>
      <c r="J13" s="11">
        <v>87.01</v>
      </c>
      <c r="K13" s="11">
        <v>89.66</v>
      </c>
      <c r="L13" s="11">
        <f t="shared" si="1"/>
        <v>6.12</v>
      </c>
      <c r="M13" s="11"/>
      <c r="N13" s="11">
        <v>83.16</v>
      </c>
      <c r="O13" s="11">
        <v>74.42</v>
      </c>
      <c r="P13" s="11">
        <v>77.56</v>
      </c>
      <c r="Q13" s="51"/>
      <c r="R13" s="11">
        <v>96.65</v>
      </c>
      <c r="S13" s="11">
        <v>94.52</v>
      </c>
      <c r="T13" s="11">
        <v>95.18</v>
      </c>
      <c r="U13" s="11">
        <f t="shared" si="2"/>
        <v>2.13000000000001</v>
      </c>
      <c r="V13" s="11"/>
    </row>
    <row r="14" ht="27.25" customHeight="1" spans="1:32">
      <c r="A14" s="9" t="s">
        <v>26</v>
      </c>
      <c r="B14" s="10"/>
      <c r="C14" s="50"/>
      <c r="D14" s="11">
        <v>92.34</v>
      </c>
      <c r="E14" s="11">
        <v>83.93</v>
      </c>
      <c r="F14" s="11">
        <v>87.16</v>
      </c>
      <c r="G14" s="11">
        <f t="shared" si="0"/>
        <v>8.41</v>
      </c>
      <c r="H14" s="11">
        <v>-0.72</v>
      </c>
      <c r="I14" s="11">
        <v>94.18</v>
      </c>
      <c r="J14" s="11">
        <v>87.52</v>
      </c>
      <c r="K14" s="11">
        <v>90.27</v>
      </c>
      <c r="L14" s="11">
        <f t="shared" si="1"/>
        <v>6.66000000000001</v>
      </c>
      <c r="M14" s="11">
        <v>-1.52</v>
      </c>
      <c r="N14" s="11">
        <v>85.49</v>
      </c>
      <c r="O14" s="11">
        <v>73.1</v>
      </c>
      <c r="P14" s="11">
        <v>78.09</v>
      </c>
      <c r="Q14" s="56">
        <v>-2.02</v>
      </c>
      <c r="R14" s="11">
        <v>97.47</v>
      </c>
      <c r="S14" s="11">
        <v>95.11</v>
      </c>
      <c r="T14" s="11">
        <v>96.05</v>
      </c>
      <c r="U14" s="11">
        <f t="shared" si="2"/>
        <v>2.36</v>
      </c>
      <c r="V14" s="11">
        <v>-0.73</v>
      </c>
      <c r="W14" s="57"/>
      <c r="X14" s="57"/>
      <c r="Y14" s="57"/>
      <c r="Z14" s="57"/>
      <c r="AA14" s="57"/>
      <c r="AB14" s="57"/>
      <c r="AC14" s="57"/>
      <c r="AD14" s="57"/>
      <c r="AE14" s="57"/>
      <c r="AF14" s="57"/>
    </row>
    <row r="15" ht="27.25" customHeight="1" spans="1:32">
      <c r="A15" s="9" t="s">
        <v>27</v>
      </c>
      <c r="B15" s="10"/>
      <c r="C15" s="50"/>
      <c r="D15" s="11">
        <v>92.42</v>
      </c>
      <c r="E15" s="11">
        <v>83.12</v>
      </c>
      <c r="F15" s="11">
        <v>86.92</v>
      </c>
      <c r="G15" s="11">
        <f t="shared" si="0"/>
        <v>9.3</v>
      </c>
      <c r="H15" s="11">
        <v>-1.85</v>
      </c>
      <c r="I15" s="11">
        <v>94.1</v>
      </c>
      <c r="J15" s="11">
        <v>87.99</v>
      </c>
      <c r="K15" s="11">
        <v>90.46</v>
      </c>
      <c r="L15" s="11">
        <f t="shared" si="1"/>
        <v>6.11</v>
      </c>
      <c r="M15" s="11">
        <v>-1.23</v>
      </c>
      <c r="N15" s="11">
        <v>85.46</v>
      </c>
      <c r="O15" s="11">
        <v>73.1</v>
      </c>
      <c r="P15" s="11">
        <v>78.07</v>
      </c>
      <c r="Q15" s="56">
        <v>-1.95</v>
      </c>
      <c r="R15" s="11">
        <v>97.47</v>
      </c>
      <c r="S15" s="11">
        <v>95.35</v>
      </c>
      <c r="T15" s="11">
        <v>96.24</v>
      </c>
      <c r="U15" s="11">
        <f t="shared" si="2"/>
        <v>2.12</v>
      </c>
      <c r="V15" s="11">
        <v>-0.81</v>
      </c>
      <c r="W15" s="57"/>
      <c r="X15" s="57"/>
      <c r="Y15" s="57"/>
      <c r="Z15" s="57"/>
      <c r="AA15" s="57"/>
      <c r="AB15" s="57"/>
      <c r="AC15" s="57"/>
      <c r="AD15" s="57"/>
      <c r="AE15" s="57"/>
      <c r="AF15" s="57"/>
    </row>
    <row r="16" ht="27.25" customHeight="1" spans="1:32">
      <c r="A16" s="31" t="s">
        <v>33</v>
      </c>
      <c r="B16" s="32"/>
      <c r="C16" s="32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5"/>
      <c r="Q16" s="58"/>
      <c r="R16" s="33"/>
      <c r="S16" s="33"/>
      <c r="T16" s="33"/>
      <c r="U16" s="33"/>
      <c r="V16" s="33"/>
    </row>
  </sheetData>
  <autoFilter xmlns:etc="http://www.wps.cn/officeDocument/2017/etCustomData" ref="A1:P16" etc:filterBottomFollowUsedRange="0">
    <extLst/>
  </autoFilter>
  <mergeCells count="4">
    <mergeCell ref="D1:H1"/>
    <mergeCell ref="I1:M1"/>
    <mergeCell ref="N1:Q1"/>
    <mergeCell ref="R1:V1"/>
  </mergeCells>
  <conditionalFormatting sqref="D14">
    <cfRule type="top10" dxfId="0" priority="38" rank="2"/>
  </conditionalFormatting>
  <conditionalFormatting sqref="E14">
    <cfRule type="top10" dxfId="0" priority="1" rank="2"/>
  </conditionalFormatting>
  <conditionalFormatting sqref="F14">
    <cfRule type="top10" dxfId="0" priority="3" rank="2"/>
  </conditionalFormatting>
  <conditionalFormatting sqref="I14">
    <cfRule type="top10" dxfId="0" priority="36" rank="2"/>
  </conditionalFormatting>
  <conditionalFormatting sqref="J14">
    <cfRule type="top10" dxfId="0" priority="35" rank="2"/>
  </conditionalFormatting>
  <conditionalFormatting sqref="K14">
    <cfRule type="top10" dxfId="0" priority="34" rank="2"/>
  </conditionalFormatting>
  <conditionalFormatting sqref="N14">
    <cfRule type="top10" dxfId="0" priority="30" rank="2"/>
  </conditionalFormatting>
  <conditionalFormatting sqref="O14">
    <cfRule type="top10" dxfId="0" priority="29" rank="2"/>
  </conditionalFormatting>
  <conditionalFormatting sqref="P14">
    <cfRule type="top10" dxfId="0" priority="28" rank="2"/>
  </conditionalFormatting>
  <conditionalFormatting sqref="R14">
    <cfRule type="top10" dxfId="0" priority="33" rank="2"/>
  </conditionalFormatting>
  <conditionalFormatting sqref="S14">
    <cfRule type="top10" dxfId="0" priority="32" rank="2"/>
  </conditionalFormatting>
  <conditionalFormatting sqref="T14">
    <cfRule type="top10" dxfId="0" priority="31" rank="2"/>
  </conditionalFormatting>
  <conditionalFormatting sqref="D15">
    <cfRule type="top10" dxfId="0" priority="27" rank="2"/>
  </conditionalFormatting>
  <conditionalFormatting sqref="E15">
    <cfRule type="top10" dxfId="0" priority="26" rank="2"/>
  </conditionalFormatting>
  <conditionalFormatting sqref="F15">
    <cfRule type="top10" dxfId="0" priority="25" rank="2"/>
  </conditionalFormatting>
  <conditionalFormatting sqref="I15">
    <cfRule type="top10" dxfId="0" priority="24" rank="2"/>
  </conditionalFormatting>
  <conditionalFormatting sqref="J15">
    <cfRule type="top10" dxfId="0" priority="23" rank="2"/>
  </conditionalFormatting>
  <conditionalFormatting sqref="K15">
    <cfRule type="top10" dxfId="0" priority="22" rank="2"/>
  </conditionalFormatting>
  <conditionalFormatting sqref="N15">
    <cfRule type="top10" dxfId="0" priority="18" rank="2"/>
  </conditionalFormatting>
  <conditionalFormatting sqref="O15">
    <cfRule type="top10" dxfId="0" priority="17" rank="2"/>
  </conditionalFormatting>
  <conditionalFormatting sqref="P15">
    <cfRule type="top10" dxfId="0" priority="16" rank="2"/>
  </conditionalFormatting>
  <conditionalFormatting sqref="R15">
    <cfRule type="top10" dxfId="0" priority="21" rank="2"/>
  </conditionalFormatting>
  <conditionalFormatting sqref="S15">
    <cfRule type="top10" dxfId="0" priority="20" rank="2"/>
  </conditionalFormatting>
  <conditionalFormatting sqref="T15">
    <cfRule type="top10" dxfId="0" priority="19" rank="2"/>
  </conditionalFormatting>
  <conditionalFormatting sqref="N3:N13">
    <cfRule type="top10" dxfId="6" priority="56" rank="1"/>
    <cfRule type="top10" dxfId="5" priority="55" rank="1"/>
    <cfRule type="top10" dxfId="4" priority="54" rank="1"/>
    <cfRule type="top10" dxfId="3" priority="53" rank="1"/>
    <cfRule type="top10" dxfId="2" priority="52" rank="1"/>
    <cfRule type="top10" dxfId="1" priority="51" rank="1"/>
  </conditionalFormatting>
  <conditionalFormatting sqref="O3:O13">
    <cfRule type="top10" dxfId="6" priority="50" rank="1"/>
    <cfRule type="top10" dxfId="5" priority="49" rank="1"/>
    <cfRule type="top10" dxfId="4" priority="48" rank="1"/>
    <cfRule type="top10" dxfId="3" priority="47" rank="1"/>
    <cfRule type="top10" dxfId="2" priority="46" rank="1"/>
    <cfRule type="top10" dxfId="1" priority="45" rank="1"/>
  </conditionalFormatting>
  <conditionalFormatting sqref="D3 D5:D13">
    <cfRule type="top10" dxfId="6" priority="133" rank="1"/>
    <cfRule type="top10" dxfId="5" priority="109" rank="1"/>
    <cfRule type="top10" dxfId="4" priority="108" rank="1"/>
    <cfRule type="top10" dxfId="3" priority="107" rank="1"/>
    <cfRule type="top10" dxfId="2" priority="106" rank="1"/>
    <cfRule type="top10" dxfId="1" priority="105" rank="1"/>
  </conditionalFormatting>
  <conditionalFormatting sqref="E3 E5:E13">
    <cfRule type="top10" dxfId="6" priority="104" rank="1"/>
    <cfRule type="top10" dxfId="5" priority="103" rank="1"/>
    <cfRule type="top10" dxfId="4" priority="102" rank="1"/>
    <cfRule type="top10" dxfId="3" priority="101" rank="1"/>
    <cfRule type="top10" dxfId="2" priority="100" rank="1"/>
    <cfRule type="top10" dxfId="1" priority="99" rank="1"/>
  </conditionalFormatting>
  <conditionalFormatting sqref="F3:H3 G4:H4 F5:H13 G14:H15">
    <cfRule type="top10" dxfId="1" priority="93" rank="1"/>
    <cfRule type="top10" dxfId="2" priority="94" rank="1"/>
    <cfRule type="top10" dxfId="3" priority="95" rank="1"/>
    <cfRule type="top10" dxfId="4" priority="96" rank="1"/>
    <cfRule type="top10" dxfId="5" priority="97" rank="1"/>
    <cfRule type="top10" dxfId="6" priority="98" rank="1"/>
  </conditionalFormatting>
  <conditionalFormatting sqref="I3 I5:I13">
    <cfRule type="top10" dxfId="6" priority="92" rank="1"/>
    <cfRule type="top10" dxfId="5" priority="91" rank="1"/>
    <cfRule type="top10" dxfId="4" priority="90" rank="1"/>
    <cfRule type="top10" dxfId="3" priority="89" rank="1"/>
    <cfRule type="top10" dxfId="2" priority="88" rank="1"/>
    <cfRule type="top10" dxfId="1" priority="87" rank="1"/>
  </conditionalFormatting>
  <conditionalFormatting sqref="J3 J5:J13">
    <cfRule type="top10" dxfId="6" priority="86" rank="1"/>
    <cfRule type="top10" dxfId="5" priority="85" rank="1"/>
    <cfRule type="top10" dxfId="4" priority="84" rank="1"/>
    <cfRule type="top10" dxfId="3" priority="83" rank="1"/>
    <cfRule type="top10" dxfId="2" priority="82" rank="1"/>
    <cfRule type="top10" dxfId="1" priority="81" rank="1"/>
  </conditionalFormatting>
  <conditionalFormatting sqref="K3:M3 L4:M4 K5:M13 L14:M15">
    <cfRule type="top10" dxfId="1" priority="75" rank="1"/>
    <cfRule type="top10" dxfId="2" priority="76" rank="1"/>
    <cfRule type="top10" dxfId="3" priority="77" rank="1"/>
    <cfRule type="top10" dxfId="4" priority="78" rank="1"/>
    <cfRule type="top10" dxfId="5" priority="79" rank="1"/>
    <cfRule type="top10" dxfId="6" priority="80" rank="1"/>
  </conditionalFormatting>
  <conditionalFormatting sqref="P3:Q13">
    <cfRule type="top10" dxfId="6" priority="44" rank="1"/>
    <cfRule type="top10" dxfId="5" priority="43" rank="1"/>
    <cfRule type="top10" dxfId="4" priority="42" rank="1"/>
    <cfRule type="top10" dxfId="3" priority="41" rank="1"/>
    <cfRule type="top10" dxfId="2" priority="40" rank="1"/>
    <cfRule type="top10" dxfId="1" priority="39" rank="1"/>
  </conditionalFormatting>
  <conditionalFormatting sqref="R5:R13 R3">
    <cfRule type="top10" dxfId="6" priority="74" rank="1"/>
    <cfRule type="top10" dxfId="5" priority="73" rank="1"/>
    <cfRule type="top10" dxfId="4" priority="72" rank="1"/>
    <cfRule type="top10" dxfId="3" priority="71" rank="1"/>
    <cfRule type="top10" dxfId="2" priority="70" rank="1"/>
    <cfRule type="top10" dxfId="1" priority="69" rank="1"/>
  </conditionalFormatting>
  <conditionalFormatting sqref="S5:S13 S3">
    <cfRule type="top10" dxfId="6" priority="68" rank="1"/>
    <cfRule type="top10" dxfId="5" priority="67" rank="1"/>
    <cfRule type="top10" dxfId="4" priority="66" rank="1"/>
    <cfRule type="top10" dxfId="3" priority="65" rank="1"/>
    <cfRule type="top10" dxfId="2" priority="64" rank="1"/>
    <cfRule type="top10" dxfId="1" priority="63" rank="1"/>
  </conditionalFormatting>
  <conditionalFormatting sqref="T3:V3 U4:V4 T5:V13 U14:V15">
    <cfRule type="top10" dxfId="1" priority="57" rank="1"/>
    <cfRule type="top10" dxfId="2" priority="58" rank="1"/>
    <cfRule type="top10" dxfId="3" priority="59" rank="1"/>
    <cfRule type="top10" dxfId="4" priority="60" rank="1"/>
    <cfRule type="top10" dxfId="5" priority="61" rank="1"/>
    <cfRule type="top10" dxfId="6" priority="62" rank="1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6"/>
  <sheetViews>
    <sheetView tabSelected="1" workbookViewId="0">
      <selection activeCell="M30" sqref="M30"/>
    </sheetView>
  </sheetViews>
  <sheetFormatPr defaultColWidth="8.72972972972973" defaultRowHeight="14.1"/>
  <cols>
    <col min="1" max="1" width="35.3603603603604" customWidth="1"/>
    <col min="2" max="2" width="9" hidden="1" customWidth="1"/>
    <col min="3" max="3" width="11.4504504504505" hidden="1" customWidth="1"/>
    <col min="4" max="17" width="10.3603603603604" customWidth="1"/>
    <col min="18" max="20" width="9.11711711711712"/>
    <col min="21" max="22" width="8.72972972972973" hidden="1" customWidth="1"/>
  </cols>
  <sheetData>
    <row r="1" ht="41" customHeight="1" spans="1:32">
      <c r="A1" s="1" t="s">
        <v>0</v>
      </c>
      <c r="B1" s="1" t="s">
        <v>1</v>
      </c>
      <c r="C1" s="1" t="s">
        <v>2</v>
      </c>
      <c r="D1" s="47" t="s">
        <v>3</v>
      </c>
      <c r="E1" s="48"/>
      <c r="F1" s="48"/>
      <c r="G1" s="48"/>
      <c r="H1" s="48"/>
      <c r="I1" s="47" t="s">
        <v>4</v>
      </c>
      <c r="J1" s="48"/>
      <c r="K1" s="48"/>
      <c r="L1" s="48"/>
      <c r="M1" s="48"/>
      <c r="N1" s="47" t="s">
        <v>5</v>
      </c>
      <c r="O1" s="48"/>
      <c r="P1" s="48"/>
      <c r="Q1" s="48"/>
      <c r="R1" s="47" t="s">
        <v>6</v>
      </c>
      <c r="S1" s="48"/>
      <c r="T1" s="48"/>
      <c r="U1" s="48"/>
      <c r="V1" s="48"/>
    </row>
    <row r="2" ht="27.25" customHeight="1" spans="1:32">
      <c r="A2" s="6"/>
      <c r="B2" s="7"/>
      <c r="C2" s="49"/>
      <c r="D2" s="10" t="s">
        <v>7</v>
      </c>
      <c r="E2" s="10" t="s">
        <v>8</v>
      </c>
      <c r="F2" s="10" t="s">
        <v>9</v>
      </c>
      <c r="G2" s="10" t="s">
        <v>10</v>
      </c>
      <c r="H2" s="10" t="s">
        <v>11</v>
      </c>
      <c r="I2" s="10" t="s">
        <v>7</v>
      </c>
      <c r="J2" s="10" t="s">
        <v>8</v>
      </c>
      <c r="K2" s="10" t="s">
        <v>9</v>
      </c>
      <c r="L2" s="10" t="s">
        <v>10</v>
      </c>
      <c r="M2" s="10" t="s">
        <v>11</v>
      </c>
      <c r="N2" s="10" t="s">
        <v>7</v>
      </c>
      <c r="O2" s="10" t="s">
        <v>8</v>
      </c>
      <c r="P2" s="10" t="s">
        <v>9</v>
      </c>
      <c r="Q2" s="10" t="s">
        <v>11</v>
      </c>
      <c r="R2" s="10" t="s">
        <v>7</v>
      </c>
      <c r="S2" s="10" t="s">
        <v>8</v>
      </c>
      <c r="T2" s="10" t="s">
        <v>9</v>
      </c>
      <c r="U2" s="10" t="s">
        <v>10</v>
      </c>
      <c r="V2" s="10" t="s">
        <v>11</v>
      </c>
    </row>
    <row r="3" ht="27.25" customHeight="1" spans="1:32">
      <c r="A3" s="9" t="s">
        <v>13</v>
      </c>
      <c r="B3" s="10"/>
      <c r="C3" s="50"/>
      <c r="D3" s="11">
        <v>89.42</v>
      </c>
      <c r="E3" s="11">
        <v>14.84</v>
      </c>
      <c r="F3" s="11">
        <v>22.6</v>
      </c>
      <c r="G3" s="11">
        <f t="shared" ref="G3:G15" si="0">D3-E3</f>
        <v>74.58</v>
      </c>
      <c r="H3" s="11"/>
      <c r="I3" s="11">
        <v>91.73</v>
      </c>
      <c r="J3" s="11">
        <v>48.28</v>
      </c>
      <c r="K3" s="11">
        <v>70.44</v>
      </c>
      <c r="L3" s="11">
        <f t="shared" ref="L3:L15" si="1">I3-J3</f>
        <v>43.45</v>
      </c>
      <c r="M3" s="11"/>
      <c r="N3" s="11">
        <v>81.79</v>
      </c>
      <c r="O3" s="11">
        <v>12.8</v>
      </c>
      <c r="P3" s="11">
        <v>24.31</v>
      </c>
      <c r="Q3" s="51"/>
      <c r="R3" s="11">
        <v>95.03</v>
      </c>
      <c r="S3" s="11">
        <v>72.78</v>
      </c>
      <c r="T3" s="11">
        <v>82.41</v>
      </c>
      <c r="U3" s="11">
        <f t="shared" ref="U3:U23" si="2">R3-S3</f>
        <v>22.25</v>
      </c>
      <c r="V3" s="11"/>
    </row>
    <row r="4" ht="27.25" customHeight="1" spans="1:32">
      <c r="A4" s="9" t="s">
        <v>14</v>
      </c>
      <c r="B4" s="10"/>
      <c r="C4" s="50"/>
      <c r="D4" s="10">
        <v>89.59</v>
      </c>
      <c r="E4" s="10">
        <v>73.71</v>
      </c>
      <c r="F4" s="10">
        <v>79.12</v>
      </c>
      <c r="G4" s="11">
        <f t="shared" si="0"/>
        <v>15.88</v>
      </c>
      <c r="H4" s="10"/>
      <c r="I4" s="10">
        <v>77.65</v>
      </c>
      <c r="J4" s="10">
        <v>63.21</v>
      </c>
      <c r="K4" s="10">
        <v>69.19</v>
      </c>
      <c r="L4" s="11">
        <f t="shared" si="1"/>
        <v>14.44</v>
      </c>
      <c r="M4" s="10"/>
      <c r="N4" s="11">
        <v>64.13</v>
      </c>
      <c r="O4" s="11">
        <v>50.6</v>
      </c>
      <c r="P4" s="11">
        <v>56.17</v>
      </c>
      <c r="Q4" s="51"/>
      <c r="R4" s="10">
        <v>94</v>
      </c>
      <c r="S4" s="10">
        <v>88.56</v>
      </c>
      <c r="T4" s="10">
        <v>90.76</v>
      </c>
      <c r="U4" s="11">
        <f t="shared" si="2"/>
        <v>5.44</v>
      </c>
      <c r="V4" s="11"/>
    </row>
    <row r="5" ht="27.25" customHeight="1" spans="1:32">
      <c r="A5" s="9" t="s">
        <v>15</v>
      </c>
      <c r="B5" s="13" t="s">
        <v>16</v>
      </c>
      <c r="C5" s="52">
        <v>2022</v>
      </c>
      <c r="D5" s="14">
        <v>89.93</v>
      </c>
      <c r="E5" s="14">
        <v>49.41</v>
      </c>
      <c r="F5" s="14">
        <v>66.04</v>
      </c>
      <c r="G5" s="11">
        <f t="shared" si="0"/>
        <v>40.52</v>
      </c>
      <c r="H5" s="14"/>
      <c r="I5" s="14">
        <v>91.92</v>
      </c>
      <c r="J5" s="14">
        <v>55.44</v>
      </c>
      <c r="K5" s="14">
        <v>71.06</v>
      </c>
      <c r="L5" s="11">
        <f t="shared" si="1"/>
        <v>36.48</v>
      </c>
      <c r="M5" s="14"/>
      <c r="N5" s="11">
        <v>78.7</v>
      </c>
      <c r="O5" s="11">
        <v>43.92</v>
      </c>
      <c r="P5" s="11">
        <v>58.5</v>
      </c>
      <c r="Q5" s="51"/>
      <c r="R5" s="14">
        <v>96.77</v>
      </c>
      <c r="S5" s="14">
        <v>62.69</v>
      </c>
      <c r="T5" s="14">
        <v>77.55</v>
      </c>
      <c r="U5" s="11">
        <f t="shared" si="2"/>
        <v>34.08</v>
      </c>
      <c r="V5" s="11"/>
    </row>
    <row r="6" ht="27.25" customHeight="1" spans="1:32">
      <c r="A6" s="9" t="s">
        <v>17</v>
      </c>
      <c r="B6" s="13"/>
      <c r="C6" s="52"/>
      <c r="D6" s="14">
        <v>91.04</v>
      </c>
      <c r="E6" s="14">
        <v>51.4</v>
      </c>
      <c r="F6" s="14">
        <v>67.14</v>
      </c>
      <c r="G6" s="11">
        <f t="shared" si="0"/>
        <v>39.64</v>
      </c>
      <c r="H6" s="14"/>
      <c r="I6" s="14">
        <v>93.3</v>
      </c>
      <c r="J6" s="14">
        <v>56.31</v>
      </c>
      <c r="K6" s="14">
        <v>72.13</v>
      </c>
      <c r="L6" s="11">
        <f t="shared" si="1"/>
        <v>36.99</v>
      </c>
      <c r="M6" s="14"/>
      <c r="N6" s="13">
        <v>81.32</v>
      </c>
      <c r="O6" s="13">
        <v>46.9</v>
      </c>
      <c r="P6" s="13">
        <v>61.61</v>
      </c>
      <c r="Q6" s="51"/>
      <c r="R6" s="14">
        <v>97.5</v>
      </c>
      <c r="S6" s="14">
        <v>62.43</v>
      </c>
      <c r="T6" s="14">
        <v>77.16</v>
      </c>
      <c r="U6" s="11">
        <f t="shared" si="2"/>
        <v>35.07</v>
      </c>
      <c r="V6" s="13"/>
    </row>
    <row r="7" ht="27.25" customHeight="1" spans="1:32">
      <c r="A7" s="9" t="s">
        <v>18</v>
      </c>
      <c r="B7" s="13" t="s">
        <v>19</v>
      </c>
      <c r="C7" s="52">
        <v>2023</v>
      </c>
      <c r="D7" s="11">
        <v>90.87</v>
      </c>
      <c r="E7" s="11">
        <v>54.37</v>
      </c>
      <c r="F7" s="11">
        <v>68.9</v>
      </c>
      <c r="G7" s="11">
        <f t="shared" si="0"/>
        <v>36.5</v>
      </c>
      <c r="H7" s="11"/>
      <c r="I7" s="11">
        <v>92.98</v>
      </c>
      <c r="J7" s="11">
        <v>57.95</v>
      </c>
      <c r="K7" s="11">
        <v>72.97</v>
      </c>
      <c r="L7" s="11">
        <f t="shared" si="1"/>
        <v>35.03</v>
      </c>
      <c r="M7" s="11"/>
      <c r="N7" s="11">
        <v>78.01</v>
      </c>
      <c r="O7" s="11">
        <v>48.08</v>
      </c>
      <c r="P7" s="11">
        <v>60.83</v>
      </c>
      <c r="Q7" s="51"/>
      <c r="R7" s="11">
        <v>97.13</v>
      </c>
      <c r="S7" s="11">
        <v>68.83</v>
      </c>
      <c r="T7" s="11">
        <v>80.6</v>
      </c>
      <c r="U7" s="11">
        <f t="shared" si="2"/>
        <v>28.3</v>
      </c>
      <c r="V7" s="11"/>
    </row>
    <row r="8" ht="27.25" customHeight="1" spans="1:32">
      <c r="A8" s="9" t="s">
        <v>20</v>
      </c>
      <c r="B8" s="13" t="s">
        <v>16</v>
      </c>
      <c r="C8" s="52">
        <v>2024</v>
      </c>
      <c r="D8" s="11">
        <v>92.49</v>
      </c>
      <c r="E8" s="11">
        <v>45.89</v>
      </c>
      <c r="F8" s="11">
        <v>65.09</v>
      </c>
      <c r="G8" s="11">
        <f t="shared" si="0"/>
        <v>46.6</v>
      </c>
      <c r="H8" s="11"/>
      <c r="I8" s="11">
        <v>94.35</v>
      </c>
      <c r="J8" s="11">
        <v>56.56</v>
      </c>
      <c r="K8" s="11">
        <v>72.78</v>
      </c>
      <c r="L8" s="11">
        <f t="shared" si="1"/>
        <v>37.79</v>
      </c>
      <c r="M8" s="11"/>
      <c r="N8" s="11">
        <v>84.6</v>
      </c>
      <c r="O8" s="11">
        <v>45.52</v>
      </c>
      <c r="P8" s="11">
        <v>61.75</v>
      </c>
      <c r="Q8" s="51"/>
      <c r="R8" s="11">
        <v>97.8</v>
      </c>
      <c r="S8" s="11">
        <v>58.82</v>
      </c>
      <c r="T8" s="11">
        <v>75.51</v>
      </c>
      <c r="U8" s="11">
        <f t="shared" si="2"/>
        <v>38.98</v>
      </c>
      <c r="V8" s="11"/>
    </row>
    <row r="9" ht="27.25" customHeight="1" spans="1:32">
      <c r="A9" s="9" t="s">
        <v>21</v>
      </c>
      <c r="B9" s="10" t="s">
        <v>22</v>
      </c>
      <c r="C9" s="53">
        <v>2025</v>
      </c>
      <c r="D9" s="11">
        <v>91.72</v>
      </c>
      <c r="E9" s="11">
        <v>54.41</v>
      </c>
      <c r="F9" s="11">
        <v>66.82</v>
      </c>
      <c r="G9" s="11">
        <f t="shared" si="0"/>
        <v>37.31</v>
      </c>
      <c r="H9" s="11"/>
      <c r="I9" s="11">
        <v>93.8</v>
      </c>
      <c r="J9" s="11">
        <v>73.58</v>
      </c>
      <c r="K9" s="11">
        <v>81.68</v>
      </c>
      <c r="L9" s="11">
        <f t="shared" si="1"/>
        <v>20.22</v>
      </c>
      <c r="M9" s="11"/>
      <c r="N9" s="13">
        <v>83.58</v>
      </c>
      <c r="O9" s="13">
        <v>51.37</v>
      </c>
      <c r="P9" s="13">
        <v>58.14</v>
      </c>
      <c r="Q9" s="51"/>
      <c r="R9" s="11">
        <v>97.7</v>
      </c>
      <c r="S9" s="11">
        <v>75.53</v>
      </c>
      <c r="T9" s="11">
        <v>82.98</v>
      </c>
      <c r="U9" s="11">
        <f t="shared" si="2"/>
        <v>22.17</v>
      </c>
      <c r="V9" s="13"/>
    </row>
    <row r="10" ht="27.25" customHeight="1" spans="1:32">
      <c r="A10" s="17" t="s">
        <v>34</v>
      </c>
      <c r="B10" s="18" t="s">
        <v>19</v>
      </c>
      <c r="C10" s="54">
        <v>2023</v>
      </c>
      <c r="D10" s="28">
        <v>80.21</v>
      </c>
      <c r="E10" s="28">
        <v>63.32</v>
      </c>
      <c r="F10" s="28">
        <v>69.37</v>
      </c>
      <c r="G10" s="11">
        <f t="shared" si="0"/>
        <v>16.89</v>
      </c>
      <c r="H10" s="28"/>
      <c r="I10" s="28">
        <v>88.32</v>
      </c>
      <c r="J10" s="28">
        <v>79.99</v>
      </c>
      <c r="K10" s="28">
        <v>83.38</v>
      </c>
      <c r="L10" s="11">
        <f t="shared" si="1"/>
        <v>8.33</v>
      </c>
      <c r="M10" s="28"/>
      <c r="N10" s="29"/>
      <c r="O10" s="29"/>
      <c r="P10" s="29"/>
      <c r="Q10" s="51"/>
      <c r="R10" s="28">
        <v>90.14</v>
      </c>
      <c r="S10" s="28">
        <v>81.55</v>
      </c>
      <c r="T10" s="28">
        <v>85.54</v>
      </c>
      <c r="U10" s="11">
        <f t="shared" si="2"/>
        <v>8.59</v>
      </c>
      <c r="V10" s="29"/>
    </row>
    <row r="11" ht="27.25" customHeight="1" spans="1:32">
      <c r="A11" s="9" t="s">
        <v>23</v>
      </c>
      <c r="B11" s="13" t="s">
        <v>24</v>
      </c>
      <c r="C11" s="52">
        <v>2024</v>
      </c>
      <c r="D11" s="11">
        <v>91.55</v>
      </c>
      <c r="E11" s="11">
        <v>82.74</v>
      </c>
      <c r="F11" s="11">
        <v>86.21</v>
      </c>
      <c r="G11" s="11">
        <f t="shared" si="0"/>
        <v>8.81</v>
      </c>
      <c r="H11" s="11"/>
      <c r="I11" s="11">
        <v>92.15</v>
      </c>
      <c r="J11" s="11">
        <v>86.39</v>
      </c>
      <c r="K11" s="11">
        <v>89.28</v>
      </c>
      <c r="L11" s="11">
        <f t="shared" si="1"/>
        <v>5.76</v>
      </c>
      <c r="M11" s="11"/>
      <c r="N11" s="11">
        <v>83.09</v>
      </c>
      <c r="O11" s="11">
        <v>73.9</v>
      </c>
      <c r="P11" s="11">
        <v>77.95</v>
      </c>
      <c r="Q11" s="51"/>
      <c r="R11" s="11">
        <v>96.92</v>
      </c>
      <c r="S11" s="11">
        <v>94.84</v>
      </c>
      <c r="T11" s="11">
        <v>95.76</v>
      </c>
      <c r="U11" s="11">
        <f t="shared" si="2"/>
        <v>2.08</v>
      </c>
      <c r="V11" s="11"/>
    </row>
    <row r="12" ht="27.25" customHeight="1" spans="1:32">
      <c r="A12" s="9" t="s">
        <v>32</v>
      </c>
      <c r="B12" s="13"/>
      <c r="C12" s="52"/>
      <c r="D12" s="11">
        <v>82.21</v>
      </c>
      <c r="E12" s="11">
        <v>75.08</v>
      </c>
      <c r="F12" s="11">
        <v>77.5</v>
      </c>
      <c r="G12" s="11">
        <f t="shared" si="0"/>
        <v>7.13</v>
      </c>
      <c r="H12" s="11"/>
      <c r="I12" s="11">
        <v>90.88</v>
      </c>
      <c r="J12" s="11">
        <v>86.06</v>
      </c>
      <c r="K12" s="11">
        <v>88.08</v>
      </c>
      <c r="L12" s="11">
        <f t="shared" si="1"/>
        <v>4.81999999999999</v>
      </c>
      <c r="M12" s="11"/>
      <c r="N12" s="13"/>
      <c r="O12" s="13"/>
      <c r="P12" s="13"/>
      <c r="Q12" s="55"/>
      <c r="R12" s="11">
        <v>96.68</v>
      </c>
      <c r="S12" s="11">
        <v>94.1</v>
      </c>
      <c r="T12" s="11">
        <v>95.27</v>
      </c>
      <c r="U12" s="11">
        <f t="shared" si="2"/>
        <v>2.58000000000001</v>
      </c>
      <c r="V12" s="13"/>
    </row>
    <row r="13" ht="27.25" customHeight="1" spans="1:32">
      <c r="A13" s="9" t="s">
        <v>25</v>
      </c>
      <c r="B13" s="13" t="s">
        <v>16</v>
      </c>
      <c r="C13" s="52">
        <v>2025</v>
      </c>
      <c r="D13" s="11">
        <v>91.98</v>
      </c>
      <c r="E13" s="11">
        <v>83.63</v>
      </c>
      <c r="F13" s="11">
        <v>87.01</v>
      </c>
      <c r="G13" s="11">
        <f t="shared" si="0"/>
        <v>8.35</v>
      </c>
      <c r="H13" s="11"/>
      <c r="I13" s="11">
        <v>92.48</v>
      </c>
      <c r="J13" s="11">
        <v>87.16</v>
      </c>
      <c r="K13" s="11">
        <v>89.72</v>
      </c>
      <c r="L13" s="11">
        <f t="shared" si="1"/>
        <v>5.32</v>
      </c>
      <c r="M13" s="11"/>
      <c r="N13" s="11">
        <v>83.55</v>
      </c>
      <c r="O13" s="11">
        <v>74.43</v>
      </c>
      <c r="P13" s="11">
        <v>78.55</v>
      </c>
      <c r="Q13" s="51"/>
      <c r="R13" s="11">
        <v>96.48</v>
      </c>
      <c r="S13" s="11">
        <v>94.79</v>
      </c>
      <c r="T13" s="11">
        <v>95.53</v>
      </c>
      <c r="U13" s="11">
        <f t="shared" si="2"/>
        <v>1.69</v>
      </c>
      <c r="V13" s="11"/>
    </row>
    <row r="14" ht="27.25" customHeight="1" spans="1:32">
      <c r="A14" s="9" t="s">
        <v>26</v>
      </c>
      <c r="B14" s="10"/>
      <c r="C14" s="50"/>
      <c r="D14" s="11">
        <v>92.34</v>
      </c>
      <c r="E14" s="11">
        <v>83.93</v>
      </c>
      <c r="F14" s="11">
        <v>87.16</v>
      </c>
      <c r="G14" s="11">
        <f t="shared" si="0"/>
        <v>8.41</v>
      </c>
      <c r="H14" s="11">
        <v>-0.72</v>
      </c>
      <c r="I14" s="11">
        <v>94.18</v>
      </c>
      <c r="J14" s="11">
        <v>87.52</v>
      </c>
      <c r="K14" s="11">
        <v>90.27</v>
      </c>
      <c r="L14" s="11">
        <f t="shared" si="1"/>
        <v>6.66000000000001</v>
      </c>
      <c r="M14" s="11">
        <v>-1.52</v>
      </c>
      <c r="N14" s="11">
        <v>85.49</v>
      </c>
      <c r="O14" s="11">
        <v>73.1</v>
      </c>
      <c r="P14" s="11">
        <v>78.09</v>
      </c>
      <c r="Q14" s="56">
        <v>-2.02</v>
      </c>
      <c r="R14" s="11">
        <v>97.47</v>
      </c>
      <c r="S14" s="11">
        <v>95.11</v>
      </c>
      <c r="T14" s="11">
        <v>96.05</v>
      </c>
      <c r="U14" s="11">
        <f t="shared" si="2"/>
        <v>2.36</v>
      </c>
      <c r="V14" s="11">
        <v>-0.73</v>
      </c>
      <c r="W14" s="57"/>
      <c r="X14" s="57"/>
      <c r="Y14" s="57"/>
      <c r="Z14" s="57"/>
      <c r="AA14" s="57"/>
      <c r="AB14" s="57"/>
      <c r="AC14" s="57"/>
      <c r="AD14" s="57"/>
      <c r="AE14" s="57"/>
      <c r="AF14" s="57"/>
    </row>
    <row r="15" ht="27.25" customHeight="1" spans="1:32">
      <c r="A15" s="9" t="s">
        <v>27</v>
      </c>
      <c r="B15" s="10"/>
      <c r="C15" s="50"/>
      <c r="D15" s="11">
        <v>92.42</v>
      </c>
      <c r="E15" s="11">
        <v>83.12</v>
      </c>
      <c r="F15" s="11">
        <v>86.92</v>
      </c>
      <c r="G15" s="11">
        <f t="shared" si="0"/>
        <v>9.3</v>
      </c>
      <c r="H15" s="11">
        <v>-1.85</v>
      </c>
      <c r="I15" s="11">
        <v>94.1</v>
      </c>
      <c r="J15" s="11">
        <v>87.99</v>
      </c>
      <c r="K15" s="11">
        <v>90.46</v>
      </c>
      <c r="L15" s="11">
        <f t="shared" si="1"/>
        <v>6.11</v>
      </c>
      <c r="M15" s="11">
        <v>-1.23</v>
      </c>
      <c r="N15" s="11">
        <v>85.46</v>
      </c>
      <c r="O15" s="11">
        <v>73.1</v>
      </c>
      <c r="P15" s="11">
        <v>78.07</v>
      </c>
      <c r="Q15" s="56">
        <v>-1.95</v>
      </c>
      <c r="R15" s="11">
        <v>97.47</v>
      </c>
      <c r="S15" s="11">
        <v>95.35</v>
      </c>
      <c r="T15" s="11">
        <v>96.24</v>
      </c>
      <c r="U15" s="11">
        <f t="shared" si="2"/>
        <v>2.12</v>
      </c>
      <c r="V15" s="11">
        <v>-0.81</v>
      </c>
      <c r="W15" s="57"/>
      <c r="X15" s="57"/>
      <c r="Y15" s="57"/>
      <c r="Z15" s="57"/>
      <c r="AA15" s="57"/>
      <c r="AB15" s="57"/>
      <c r="AC15" s="57"/>
      <c r="AD15" s="57"/>
      <c r="AE15" s="57"/>
      <c r="AF15" s="57"/>
    </row>
    <row r="16" ht="27.25" customHeight="1" spans="1:32">
      <c r="A16" s="31" t="s">
        <v>33</v>
      </c>
      <c r="B16" s="32"/>
      <c r="C16" s="32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5"/>
      <c r="Q16" s="58"/>
      <c r="R16" s="33"/>
      <c r="S16" s="33"/>
      <c r="T16" s="33"/>
      <c r="U16" s="33"/>
      <c r="V16" s="33"/>
    </row>
  </sheetData>
  <autoFilter xmlns:etc="http://www.wps.cn/officeDocument/2017/etCustomData" ref="A1:P16" etc:filterBottomFollowUsedRange="0">
    <extLst/>
  </autoFilter>
  <mergeCells count="4">
    <mergeCell ref="D1:H1"/>
    <mergeCell ref="I1:M1"/>
    <mergeCell ref="N1:Q1"/>
    <mergeCell ref="R1:V1"/>
  </mergeCells>
  <conditionalFormatting sqref="D14">
    <cfRule type="top10" dxfId="0" priority="38" rank="2"/>
  </conditionalFormatting>
  <conditionalFormatting sqref="E14">
    <cfRule type="top10" dxfId="0" priority="1" rank="2"/>
  </conditionalFormatting>
  <conditionalFormatting sqref="F14">
    <cfRule type="top10" dxfId="0" priority="3" rank="2"/>
  </conditionalFormatting>
  <conditionalFormatting sqref="I14">
    <cfRule type="top10" dxfId="0" priority="36" rank="2"/>
  </conditionalFormatting>
  <conditionalFormatting sqref="J14">
    <cfRule type="top10" dxfId="0" priority="35" rank="2"/>
  </conditionalFormatting>
  <conditionalFormatting sqref="K14">
    <cfRule type="top10" dxfId="0" priority="34" rank="2"/>
  </conditionalFormatting>
  <conditionalFormatting sqref="N14">
    <cfRule type="top10" dxfId="0" priority="30" rank="2"/>
  </conditionalFormatting>
  <conditionalFormatting sqref="O14">
    <cfRule type="top10" dxfId="0" priority="29" rank="2"/>
  </conditionalFormatting>
  <conditionalFormatting sqref="P14">
    <cfRule type="top10" dxfId="0" priority="28" rank="2"/>
  </conditionalFormatting>
  <conditionalFormatting sqref="R14">
    <cfRule type="top10" dxfId="0" priority="33" rank="2"/>
  </conditionalFormatting>
  <conditionalFormatting sqref="S14">
    <cfRule type="top10" dxfId="0" priority="32" rank="2"/>
  </conditionalFormatting>
  <conditionalFormatting sqref="T14">
    <cfRule type="top10" dxfId="0" priority="31" rank="2"/>
  </conditionalFormatting>
  <conditionalFormatting sqref="D15">
    <cfRule type="top10" dxfId="0" priority="27" rank="2"/>
  </conditionalFormatting>
  <conditionalFormatting sqref="E15">
    <cfRule type="top10" dxfId="0" priority="26" rank="2"/>
  </conditionalFormatting>
  <conditionalFormatting sqref="F15">
    <cfRule type="top10" dxfId="0" priority="25" rank="2"/>
  </conditionalFormatting>
  <conditionalFormatting sqref="I15">
    <cfRule type="top10" dxfId="0" priority="24" rank="2"/>
  </conditionalFormatting>
  <conditionalFormatting sqref="J15">
    <cfRule type="top10" dxfId="0" priority="23" rank="2"/>
  </conditionalFormatting>
  <conditionalFormatting sqref="K15">
    <cfRule type="top10" dxfId="0" priority="22" rank="2"/>
  </conditionalFormatting>
  <conditionalFormatting sqref="N15">
    <cfRule type="top10" dxfId="0" priority="18" rank="2"/>
  </conditionalFormatting>
  <conditionalFormatting sqref="O15">
    <cfRule type="top10" dxfId="0" priority="17" rank="2"/>
  </conditionalFormatting>
  <conditionalFormatting sqref="P15">
    <cfRule type="top10" dxfId="0" priority="16" rank="2"/>
  </conditionalFormatting>
  <conditionalFormatting sqref="R15">
    <cfRule type="top10" dxfId="0" priority="21" rank="2"/>
  </conditionalFormatting>
  <conditionalFormatting sqref="S15">
    <cfRule type="top10" dxfId="0" priority="20" rank="2"/>
  </conditionalFormatting>
  <conditionalFormatting sqref="T15">
    <cfRule type="top10" dxfId="0" priority="19" rank="2"/>
  </conditionalFormatting>
  <conditionalFormatting sqref="N3:N13">
    <cfRule type="top10" dxfId="6" priority="56" rank="1"/>
    <cfRule type="top10" dxfId="5" priority="55" rank="1"/>
    <cfRule type="top10" dxfId="4" priority="54" rank="1"/>
    <cfRule type="top10" dxfId="3" priority="53" rank="1"/>
    <cfRule type="top10" dxfId="2" priority="52" rank="1"/>
    <cfRule type="top10" dxfId="1" priority="51" rank="1"/>
  </conditionalFormatting>
  <conditionalFormatting sqref="O3:O13">
    <cfRule type="top10" dxfId="6" priority="50" rank="1"/>
    <cfRule type="top10" dxfId="5" priority="49" rank="1"/>
    <cfRule type="top10" dxfId="4" priority="48" rank="1"/>
    <cfRule type="top10" dxfId="3" priority="47" rank="1"/>
    <cfRule type="top10" dxfId="2" priority="46" rank="1"/>
    <cfRule type="top10" dxfId="1" priority="45" rank="1"/>
  </conditionalFormatting>
  <conditionalFormatting sqref="D3 D5:D13">
    <cfRule type="top10" dxfId="6" priority="133" rank="1"/>
    <cfRule type="top10" dxfId="5" priority="109" rank="1"/>
    <cfRule type="top10" dxfId="4" priority="108" rank="1"/>
    <cfRule type="top10" dxfId="3" priority="107" rank="1"/>
    <cfRule type="top10" dxfId="2" priority="106" rank="1"/>
    <cfRule type="top10" dxfId="1" priority="105" rank="1"/>
  </conditionalFormatting>
  <conditionalFormatting sqref="E3 E5:E13">
    <cfRule type="top10" dxfId="6" priority="104" rank="1"/>
    <cfRule type="top10" dxfId="5" priority="103" rank="1"/>
    <cfRule type="top10" dxfId="4" priority="102" rank="1"/>
    <cfRule type="top10" dxfId="3" priority="101" rank="1"/>
    <cfRule type="top10" dxfId="2" priority="100" rank="1"/>
    <cfRule type="top10" dxfId="1" priority="99" rank="1"/>
  </conditionalFormatting>
  <conditionalFormatting sqref="F3:H3 G4:H4 F5:H13 G14:H15">
    <cfRule type="top10" dxfId="1" priority="93" rank="1"/>
    <cfRule type="top10" dxfId="2" priority="94" rank="1"/>
    <cfRule type="top10" dxfId="3" priority="95" rank="1"/>
    <cfRule type="top10" dxfId="4" priority="96" rank="1"/>
    <cfRule type="top10" dxfId="5" priority="97" rank="1"/>
    <cfRule type="top10" dxfId="6" priority="98" rank="1"/>
  </conditionalFormatting>
  <conditionalFormatting sqref="I3 I5:I13">
    <cfRule type="top10" dxfId="6" priority="92" rank="1"/>
    <cfRule type="top10" dxfId="5" priority="91" rank="1"/>
    <cfRule type="top10" dxfId="4" priority="90" rank="1"/>
    <cfRule type="top10" dxfId="3" priority="89" rank="1"/>
    <cfRule type="top10" dxfId="2" priority="88" rank="1"/>
    <cfRule type="top10" dxfId="1" priority="87" rank="1"/>
  </conditionalFormatting>
  <conditionalFormatting sqref="J3 J5:J13">
    <cfRule type="top10" dxfId="6" priority="86" rank="1"/>
    <cfRule type="top10" dxfId="5" priority="85" rank="1"/>
    <cfRule type="top10" dxfId="4" priority="84" rank="1"/>
    <cfRule type="top10" dxfId="3" priority="83" rank="1"/>
    <cfRule type="top10" dxfId="2" priority="82" rank="1"/>
    <cfRule type="top10" dxfId="1" priority="81" rank="1"/>
  </conditionalFormatting>
  <conditionalFormatting sqref="K3:M3 L4:M4 K5:M13 L14:M15">
    <cfRule type="top10" dxfId="1" priority="75" rank="1"/>
    <cfRule type="top10" dxfId="2" priority="76" rank="1"/>
    <cfRule type="top10" dxfId="3" priority="77" rank="1"/>
    <cfRule type="top10" dxfId="4" priority="78" rank="1"/>
    <cfRule type="top10" dxfId="5" priority="79" rank="1"/>
    <cfRule type="top10" dxfId="6" priority="80" rank="1"/>
  </conditionalFormatting>
  <conditionalFormatting sqref="P3:Q13">
    <cfRule type="top10" dxfId="6" priority="44" rank="1"/>
    <cfRule type="top10" dxfId="5" priority="43" rank="1"/>
    <cfRule type="top10" dxfId="4" priority="42" rank="1"/>
    <cfRule type="top10" dxfId="3" priority="41" rank="1"/>
    <cfRule type="top10" dxfId="2" priority="40" rank="1"/>
    <cfRule type="top10" dxfId="1" priority="39" rank="1"/>
  </conditionalFormatting>
  <conditionalFormatting sqref="R5:R13 R3">
    <cfRule type="top10" dxfId="6" priority="74" rank="1"/>
    <cfRule type="top10" dxfId="5" priority="73" rank="1"/>
    <cfRule type="top10" dxfId="4" priority="72" rank="1"/>
    <cfRule type="top10" dxfId="3" priority="71" rank="1"/>
    <cfRule type="top10" dxfId="2" priority="70" rank="1"/>
    <cfRule type="top10" dxfId="1" priority="69" rank="1"/>
  </conditionalFormatting>
  <conditionalFormatting sqref="S5:S13 S3">
    <cfRule type="top10" dxfId="6" priority="68" rank="1"/>
    <cfRule type="top10" dxfId="5" priority="67" rank="1"/>
    <cfRule type="top10" dxfId="4" priority="66" rank="1"/>
    <cfRule type="top10" dxfId="3" priority="65" rank="1"/>
    <cfRule type="top10" dxfId="2" priority="64" rank="1"/>
    <cfRule type="top10" dxfId="1" priority="63" rank="1"/>
  </conditionalFormatting>
  <conditionalFormatting sqref="T3:V3 U4:V4 T5:V13 U14:V15">
    <cfRule type="top10" dxfId="1" priority="57" rank="1"/>
    <cfRule type="top10" dxfId="2" priority="58" rank="1"/>
    <cfRule type="top10" dxfId="3" priority="59" rank="1"/>
    <cfRule type="top10" dxfId="4" priority="60" rank="1"/>
    <cfRule type="top10" dxfId="5" priority="61" rank="1"/>
    <cfRule type="top10" dxfId="6" priority="62" rank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0"/>
  <sheetViews>
    <sheetView workbookViewId="0">
      <selection activeCell="M32" sqref="M32"/>
    </sheetView>
  </sheetViews>
  <sheetFormatPr defaultColWidth="8.72972972972973" defaultRowHeight="14.1"/>
  <cols>
    <col min="1" max="1" width="25.7297297297297" customWidth="1"/>
    <col min="2" max="2" width="14.0900900900901" customWidth="1"/>
    <col min="3" max="4" width="13.2702702702703" customWidth="1"/>
    <col min="5" max="5" width="15.1891891891892" customWidth="1"/>
    <col min="6" max="6" width="10.4954954954955" customWidth="1"/>
    <col min="7" max="7" width="12.4504504504505" customWidth="1"/>
    <col min="8" max="8" width="12.045045045045" customWidth="1"/>
    <col min="9" max="9" width="14.0900900900901" customWidth="1"/>
    <col min="10" max="11" width="13.2702702702703" customWidth="1"/>
    <col min="12" max="12" width="15.1891891891892" customWidth="1"/>
    <col min="13" max="13" width="11.1081081081081" customWidth="1"/>
    <col min="14" max="14" width="12.4504504504505" customWidth="1"/>
    <col min="15" max="15" width="10.2702702702703" customWidth="1"/>
    <col min="16" max="17" width="8.72972972972973" customWidth="1"/>
    <col min="18" max="18" width="13.5495495495495" customWidth="1"/>
    <col min="19" max="19" width="18.2702702702703" customWidth="1"/>
    <col min="20" max="20" width="12.9099099099099" customWidth="1"/>
    <col min="21" max="21" width="15.8198198198198" customWidth="1"/>
    <col min="22" max="22" width="13.8108108108108" style="36" customWidth="1"/>
    <col min="23" max="23" width="19.2702702702703" style="36" customWidth="1"/>
    <col min="24" max="24" width="12.8108108108108" style="36" customWidth="1"/>
    <col min="25" max="25" width="18.8558558558559" style="36"/>
    <col min="26" max="26" width="14.2252252252252"/>
  </cols>
  <sheetData>
    <row r="1" ht="20.1" spans="1:27">
      <c r="A1" s="37"/>
      <c r="B1" s="38" t="s">
        <v>35</v>
      </c>
      <c r="C1" s="39"/>
      <c r="D1" s="39"/>
      <c r="E1" s="39"/>
      <c r="F1" s="39"/>
      <c r="G1" s="40"/>
      <c r="H1" s="39"/>
      <c r="I1" s="38" t="s">
        <v>36</v>
      </c>
      <c r="J1" s="39"/>
      <c r="K1" s="39"/>
      <c r="L1" s="39"/>
      <c r="M1" s="39"/>
      <c r="N1" s="40"/>
      <c r="O1" s="40"/>
      <c r="P1" s="32" t="s">
        <v>37</v>
      </c>
      <c r="Q1" s="32"/>
      <c r="R1" s="32"/>
      <c r="S1" s="32"/>
      <c r="T1" s="32"/>
      <c r="U1" s="32"/>
      <c r="V1" s="39"/>
      <c r="W1" s="39" t="s">
        <v>38</v>
      </c>
      <c r="X1" s="39"/>
      <c r="Y1" s="40"/>
    </row>
    <row r="2" ht="20.1" spans="1:27">
      <c r="A2" s="37"/>
      <c r="B2" s="41" t="s">
        <v>39</v>
      </c>
      <c r="C2" s="41" t="s">
        <v>40</v>
      </c>
      <c r="D2" s="41" t="s">
        <v>9</v>
      </c>
      <c r="E2" s="41" t="s">
        <v>41</v>
      </c>
      <c r="F2" s="41" t="s">
        <v>42</v>
      </c>
      <c r="G2" s="41" t="s">
        <v>9</v>
      </c>
      <c r="H2" s="41" t="s">
        <v>43</v>
      </c>
      <c r="I2" s="41" t="s">
        <v>39</v>
      </c>
      <c r="J2" s="41" t="s">
        <v>40</v>
      </c>
      <c r="K2" s="41" t="s">
        <v>9</v>
      </c>
      <c r="L2" s="41" t="s">
        <v>41</v>
      </c>
      <c r="M2" s="41" t="s">
        <v>42</v>
      </c>
      <c r="N2" s="41" t="s">
        <v>9</v>
      </c>
      <c r="O2" s="41" t="s">
        <v>43</v>
      </c>
      <c r="P2" s="41" t="s">
        <v>39</v>
      </c>
      <c r="Q2" s="41" t="s">
        <v>40</v>
      </c>
      <c r="R2" s="41" t="s">
        <v>9</v>
      </c>
      <c r="S2" s="41" t="s">
        <v>41</v>
      </c>
      <c r="T2" s="41" t="s">
        <v>44</v>
      </c>
      <c r="U2" s="41" t="s">
        <v>9</v>
      </c>
      <c r="V2" s="42" t="s">
        <v>43</v>
      </c>
      <c r="W2" s="42" t="s">
        <v>41</v>
      </c>
      <c r="X2" s="42" t="s">
        <v>42</v>
      </c>
      <c r="Y2" s="42" t="s">
        <v>9</v>
      </c>
      <c r="Z2" s="42" t="s">
        <v>43</v>
      </c>
    </row>
    <row r="3" ht="22.7" spans="1:27">
      <c r="A3" s="9" t="s">
        <v>15</v>
      </c>
      <c r="B3" s="37">
        <v>1375.14</v>
      </c>
      <c r="C3" s="37">
        <v>220</v>
      </c>
      <c r="D3" s="37">
        <f t="shared" ref="D3:D11" si="0">B3/C3</f>
        <v>6.25063636363636</v>
      </c>
      <c r="E3" s="37">
        <v>157.6982</v>
      </c>
      <c r="F3" s="37">
        <v>11</v>
      </c>
      <c r="G3" s="37">
        <f t="shared" ref="G3:G11" si="1">E3/F3</f>
        <v>14.3362</v>
      </c>
      <c r="H3" s="37">
        <v>4.54</v>
      </c>
      <c r="I3" s="37">
        <v>6448.82</v>
      </c>
      <c r="J3" s="37">
        <v>180</v>
      </c>
      <c r="K3" s="37">
        <f>I3/J3</f>
        <v>35.8267777777778</v>
      </c>
      <c r="L3" s="37">
        <v>428.2056</v>
      </c>
      <c r="M3" s="37">
        <v>9</v>
      </c>
      <c r="N3" s="37">
        <f t="shared" ref="N3:N11" si="2">L3/M3</f>
        <v>47.5784</v>
      </c>
      <c r="O3" s="37">
        <v>20.59</v>
      </c>
      <c r="P3" s="26"/>
      <c r="Q3" s="26"/>
      <c r="R3" s="26"/>
      <c r="S3" s="37">
        <v>435.1293</v>
      </c>
      <c r="T3" s="37">
        <v>9</v>
      </c>
      <c r="U3" s="37">
        <f t="shared" ref="U3:U11" si="3">S3/T3</f>
        <v>48.3477</v>
      </c>
      <c r="V3" s="32">
        <v>20.5757</v>
      </c>
      <c r="W3" s="32">
        <v>329.4313</v>
      </c>
      <c r="X3" s="32">
        <v>11</v>
      </c>
      <c r="Y3" s="32">
        <f t="shared" ref="Y3:Y11" si="4">W3/X3</f>
        <v>29.9483</v>
      </c>
      <c r="Z3" s="32">
        <v>11.5612</v>
      </c>
      <c r="AA3" s="43"/>
    </row>
    <row r="4" ht="22.7" spans="1:27">
      <c r="A4" s="9" t="s">
        <v>17</v>
      </c>
      <c r="B4" s="37">
        <v>1675.33</v>
      </c>
      <c r="C4" s="37">
        <v>220</v>
      </c>
      <c r="D4" s="37">
        <f t="shared" si="0"/>
        <v>7.61513636363636</v>
      </c>
      <c r="E4" s="37">
        <v>107.14</v>
      </c>
      <c r="F4" s="37">
        <v>11</v>
      </c>
      <c r="G4" s="37">
        <f t="shared" si="1"/>
        <v>9.74</v>
      </c>
      <c r="H4" s="37"/>
      <c r="I4" s="37">
        <v>7774.29</v>
      </c>
      <c r="J4" s="37">
        <v>180</v>
      </c>
      <c r="K4" s="37">
        <f>I4/J4</f>
        <v>43.1905</v>
      </c>
      <c r="L4" s="37">
        <v>383.15</v>
      </c>
      <c r="M4" s="37">
        <v>9</v>
      </c>
      <c r="N4" s="37">
        <f t="shared" si="2"/>
        <v>42.5722222222222</v>
      </c>
      <c r="O4" s="26"/>
      <c r="P4" s="26"/>
      <c r="Q4" s="26"/>
      <c r="R4" s="26"/>
      <c r="S4" s="37">
        <v>374.55</v>
      </c>
      <c r="T4" s="37">
        <v>9</v>
      </c>
      <c r="U4" s="37">
        <f t="shared" si="3"/>
        <v>41.6166666666667</v>
      </c>
      <c r="V4" s="32"/>
      <c r="W4" s="32">
        <v>262.23</v>
      </c>
      <c r="X4" s="32">
        <v>11</v>
      </c>
      <c r="Y4" s="32">
        <f t="shared" si="4"/>
        <v>23.8390909090909</v>
      </c>
      <c r="Z4" s="43"/>
      <c r="AA4" s="43"/>
    </row>
    <row r="5" ht="22.7" spans="1:27">
      <c r="A5" s="9" t="s">
        <v>18</v>
      </c>
      <c r="B5" s="37">
        <v>2486.28</v>
      </c>
      <c r="C5" s="37">
        <v>550</v>
      </c>
      <c r="D5" s="37">
        <f t="shared" si="0"/>
        <v>4.52050909090909</v>
      </c>
      <c r="E5" s="37">
        <v>105.25</v>
      </c>
      <c r="F5" s="37">
        <v>11</v>
      </c>
      <c r="G5" s="37">
        <f t="shared" si="1"/>
        <v>9.56818181818182</v>
      </c>
      <c r="H5" s="37"/>
      <c r="I5" s="37">
        <v>994.62</v>
      </c>
      <c r="J5" s="37">
        <v>45</v>
      </c>
      <c r="K5" s="37">
        <f>I5/J5</f>
        <v>22.1026666666667</v>
      </c>
      <c r="L5" s="37">
        <v>375.42</v>
      </c>
      <c r="M5" s="37">
        <v>9</v>
      </c>
      <c r="N5" s="37">
        <f t="shared" si="2"/>
        <v>41.7133333333333</v>
      </c>
      <c r="O5" s="26"/>
      <c r="P5" s="26"/>
      <c r="Q5" s="26"/>
      <c r="R5" s="26"/>
      <c r="S5" s="37">
        <v>376.55</v>
      </c>
      <c r="T5" s="37">
        <v>9</v>
      </c>
      <c r="U5" s="37">
        <f t="shared" si="3"/>
        <v>41.8388888888889</v>
      </c>
      <c r="V5" s="32"/>
      <c r="W5" s="32">
        <v>260.28</v>
      </c>
      <c r="X5" s="32">
        <v>11</v>
      </c>
      <c r="Y5" s="32">
        <f t="shared" si="4"/>
        <v>23.6618181818182</v>
      </c>
      <c r="Z5" s="43"/>
      <c r="AA5" s="43"/>
    </row>
    <row r="6" ht="22.7" spans="1:27">
      <c r="A6" s="9" t="s">
        <v>20</v>
      </c>
      <c r="B6" s="37">
        <v>1784.04</v>
      </c>
      <c r="C6" s="37">
        <v>220</v>
      </c>
      <c r="D6" s="37">
        <f t="shared" si="0"/>
        <v>8.10927272727273</v>
      </c>
      <c r="E6" s="37">
        <v>69.59</v>
      </c>
      <c r="F6" s="37">
        <v>11</v>
      </c>
      <c r="G6" s="37">
        <f t="shared" si="1"/>
        <v>6.32636363636364</v>
      </c>
      <c r="H6" s="37"/>
      <c r="I6" s="37">
        <v>6754.92</v>
      </c>
      <c r="J6" s="37">
        <v>180</v>
      </c>
      <c r="K6" s="37">
        <f>I6/J6</f>
        <v>37.5273333333333</v>
      </c>
      <c r="L6" s="37">
        <v>231.72</v>
      </c>
      <c r="M6" s="37">
        <v>9</v>
      </c>
      <c r="N6" s="37">
        <f t="shared" si="2"/>
        <v>25.7466666666667</v>
      </c>
      <c r="O6" s="26"/>
      <c r="P6" s="26"/>
      <c r="Q6" s="26"/>
      <c r="R6" s="26"/>
      <c r="S6" s="37">
        <v>236.34</v>
      </c>
      <c r="T6" s="37">
        <v>9</v>
      </c>
      <c r="U6" s="37">
        <f t="shared" si="3"/>
        <v>26.26</v>
      </c>
      <c r="V6" s="32"/>
      <c r="W6" s="32">
        <v>168.66</v>
      </c>
      <c r="X6" s="32">
        <v>11</v>
      </c>
      <c r="Y6" s="32">
        <f t="shared" si="4"/>
        <v>15.3327272727273</v>
      </c>
      <c r="Z6" s="43"/>
      <c r="AA6" s="43"/>
    </row>
    <row r="7" ht="22.7" spans="1:27">
      <c r="A7" s="9" t="s">
        <v>21</v>
      </c>
      <c r="B7" s="37"/>
      <c r="C7" s="37">
        <v>220</v>
      </c>
      <c r="D7" s="37">
        <f t="shared" si="0"/>
        <v>0</v>
      </c>
      <c r="E7" s="37">
        <v>76.49</v>
      </c>
      <c r="F7" s="37">
        <v>11</v>
      </c>
      <c r="G7" s="37">
        <f t="shared" si="1"/>
        <v>6.95363636363636</v>
      </c>
      <c r="H7" s="37"/>
      <c r="I7" s="37"/>
      <c r="J7" s="37">
        <v>180</v>
      </c>
      <c r="K7" s="37"/>
      <c r="L7" s="37">
        <v>248.02</v>
      </c>
      <c r="M7" s="37">
        <v>9</v>
      </c>
      <c r="N7" s="37">
        <f t="shared" si="2"/>
        <v>27.5577777777778</v>
      </c>
      <c r="O7" s="26"/>
      <c r="P7" s="26"/>
      <c r="Q7" s="26"/>
      <c r="R7" s="26"/>
      <c r="S7" s="37">
        <v>245.22</v>
      </c>
      <c r="T7" s="37">
        <v>9</v>
      </c>
      <c r="U7" s="37">
        <f t="shared" si="3"/>
        <v>27.2466666666667</v>
      </c>
      <c r="V7" s="32"/>
      <c r="W7" s="32">
        <v>180.31</v>
      </c>
      <c r="X7" s="32">
        <v>11</v>
      </c>
      <c r="Y7" s="32">
        <f t="shared" si="4"/>
        <v>16.3918181818182</v>
      </c>
      <c r="Z7" s="43"/>
      <c r="AA7" s="43"/>
    </row>
    <row r="8" ht="22.7" spans="1:27">
      <c r="A8" s="9" t="s">
        <v>23</v>
      </c>
      <c r="B8" s="37"/>
      <c r="C8" s="37">
        <v>220</v>
      </c>
      <c r="D8" s="37">
        <f t="shared" si="0"/>
        <v>0</v>
      </c>
      <c r="E8" s="37">
        <v>105.96</v>
      </c>
      <c r="F8" s="37">
        <v>11</v>
      </c>
      <c r="G8" s="37">
        <f t="shared" si="1"/>
        <v>9.63272727272727</v>
      </c>
      <c r="H8" s="37"/>
      <c r="I8" s="37"/>
      <c r="J8" s="37">
        <v>180</v>
      </c>
      <c r="K8" s="37"/>
      <c r="L8" s="37">
        <v>379.02</v>
      </c>
      <c r="M8" s="37">
        <v>9</v>
      </c>
      <c r="N8" s="37">
        <f t="shared" si="2"/>
        <v>42.1133333333333</v>
      </c>
      <c r="O8" s="37">
        <v>36.74</v>
      </c>
      <c r="P8" s="26"/>
      <c r="Q8" s="26"/>
      <c r="R8" s="26"/>
      <c r="S8" s="37">
        <v>411.72</v>
      </c>
      <c r="T8" s="37">
        <v>9</v>
      </c>
      <c r="U8" s="37">
        <f t="shared" si="3"/>
        <v>45.7466666666667</v>
      </c>
      <c r="V8" s="32"/>
      <c r="W8" s="32">
        <v>322.22</v>
      </c>
      <c r="X8" s="32">
        <v>11</v>
      </c>
      <c r="Y8" s="32">
        <f t="shared" si="4"/>
        <v>29.2927272727273</v>
      </c>
      <c r="Z8" s="43"/>
      <c r="AA8" s="43"/>
    </row>
    <row r="9" ht="22.7" spans="1:27">
      <c r="A9" s="9" t="s">
        <v>25</v>
      </c>
      <c r="B9" s="37"/>
      <c r="C9" s="37">
        <v>220</v>
      </c>
      <c r="D9" s="37">
        <f t="shared" si="0"/>
        <v>0</v>
      </c>
      <c r="E9" s="37">
        <v>126.46</v>
      </c>
      <c r="F9" s="37">
        <v>11</v>
      </c>
      <c r="G9" s="37">
        <f t="shared" si="1"/>
        <v>11.4963636363636</v>
      </c>
      <c r="H9" s="37"/>
      <c r="I9" s="37"/>
      <c r="J9" s="37">
        <v>180</v>
      </c>
      <c r="K9" s="37"/>
      <c r="L9" s="37">
        <v>212.66</v>
      </c>
      <c r="M9" s="37">
        <v>9</v>
      </c>
      <c r="N9" s="37">
        <f t="shared" si="2"/>
        <v>23.6288888888889</v>
      </c>
      <c r="O9" s="26"/>
      <c r="P9" s="26"/>
      <c r="Q9" s="26"/>
      <c r="R9" s="26"/>
      <c r="S9" s="37">
        <v>447.13</v>
      </c>
      <c r="T9" s="37">
        <v>9</v>
      </c>
      <c r="U9" s="37">
        <f t="shared" si="3"/>
        <v>49.6811111111111</v>
      </c>
      <c r="V9" s="32"/>
      <c r="W9" s="32">
        <v>313.94</v>
      </c>
      <c r="X9" s="32">
        <v>11</v>
      </c>
      <c r="Y9" s="32">
        <f t="shared" si="4"/>
        <v>28.54</v>
      </c>
      <c r="Z9" s="43"/>
      <c r="AA9" s="43"/>
    </row>
    <row r="10" ht="22.7" spans="1:27">
      <c r="A10" s="9" t="s">
        <v>26</v>
      </c>
      <c r="B10" s="26"/>
      <c r="C10" s="37">
        <v>220</v>
      </c>
      <c r="D10" s="37">
        <f t="shared" si="0"/>
        <v>0</v>
      </c>
      <c r="E10" s="37">
        <v>76.55</v>
      </c>
      <c r="F10" s="37">
        <v>11</v>
      </c>
      <c r="G10" s="37">
        <f t="shared" si="1"/>
        <v>6.95909090909091</v>
      </c>
      <c r="H10" s="26"/>
      <c r="I10" s="26"/>
      <c r="J10" s="37">
        <v>180</v>
      </c>
      <c r="K10" s="26"/>
      <c r="L10" s="37">
        <v>265.3</v>
      </c>
      <c r="M10" s="37">
        <v>9</v>
      </c>
      <c r="N10" s="37">
        <f t="shared" si="2"/>
        <v>29.4777777777778</v>
      </c>
      <c r="O10" s="26"/>
      <c r="P10" s="26"/>
      <c r="Q10" s="26"/>
      <c r="R10" s="26"/>
      <c r="S10" s="37">
        <v>267.01</v>
      </c>
      <c r="T10" s="37">
        <v>9</v>
      </c>
      <c r="U10" s="37">
        <f t="shared" si="3"/>
        <v>29.6677777777778</v>
      </c>
      <c r="V10" s="32"/>
      <c r="W10" s="32">
        <v>186.7</v>
      </c>
      <c r="X10" s="32">
        <v>11</v>
      </c>
      <c r="Y10" s="32">
        <f t="shared" si="4"/>
        <v>16.9727272727273</v>
      </c>
      <c r="Z10" s="43"/>
      <c r="AA10" s="43"/>
    </row>
    <row r="11" ht="22.7" spans="1:27">
      <c r="A11" s="9" t="s">
        <v>27</v>
      </c>
      <c r="B11" s="26">
        <v>2818.22</v>
      </c>
      <c r="C11" s="37">
        <v>220</v>
      </c>
      <c r="D11" s="37">
        <f t="shared" si="0"/>
        <v>12.8100909090909</v>
      </c>
      <c r="E11" s="44">
        <v>70.51</v>
      </c>
      <c r="F11" s="37">
        <v>11</v>
      </c>
      <c r="G11" s="37">
        <f t="shared" si="1"/>
        <v>6.41</v>
      </c>
      <c r="H11" s="26"/>
      <c r="I11" s="26"/>
      <c r="J11" s="37">
        <v>180</v>
      </c>
      <c r="K11" s="26"/>
      <c r="L11" s="37">
        <v>240.66</v>
      </c>
      <c r="M11" s="37">
        <v>9</v>
      </c>
      <c r="N11" s="37">
        <f t="shared" si="2"/>
        <v>26.74</v>
      </c>
      <c r="O11" s="26"/>
      <c r="P11" s="26"/>
      <c r="Q11" s="26"/>
      <c r="R11" s="26"/>
      <c r="S11" s="37">
        <v>242.67</v>
      </c>
      <c r="T11" s="37">
        <v>9</v>
      </c>
      <c r="U11" s="37">
        <f t="shared" si="3"/>
        <v>26.9633333333333</v>
      </c>
      <c r="V11" s="45"/>
      <c r="W11" s="45">
        <v>172.85</v>
      </c>
      <c r="X11" s="32">
        <v>11</v>
      </c>
      <c r="Y11" s="32">
        <f t="shared" si="4"/>
        <v>15.7136363636364</v>
      </c>
      <c r="Z11" s="43"/>
      <c r="AA11" s="43"/>
    </row>
    <row r="12" spans="1:27">
      <c r="V12" s="46"/>
      <c r="W12" s="46"/>
    </row>
    <row r="13" spans="1:27">
      <c r="V13" s="46"/>
      <c r="W13" s="46"/>
    </row>
    <row r="14" spans="1:27">
      <c r="V14" s="46"/>
      <c r="W14" s="46"/>
    </row>
    <row r="15" spans="1:27">
      <c r="V15" s="46"/>
      <c r="W15" s="46"/>
    </row>
    <row r="16" spans="1:27">
      <c r="V16" s="46"/>
      <c r="W16" s="46"/>
    </row>
    <row r="17" spans="22:23">
      <c r="V17" s="46"/>
      <c r="W17" s="46"/>
    </row>
    <row r="18" spans="22:23">
      <c r="V18" s="46"/>
      <c r="W18" s="46"/>
    </row>
    <row r="19" spans="22:23">
      <c r="V19" s="46"/>
      <c r="W19" s="46"/>
    </row>
    <row r="20" spans="22:23">
      <c r="V20" s="46"/>
      <c r="W20" s="46"/>
    </row>
  </sheetData>
  <mergeCells count="4">
    <mergeCell ref="B1:G1"/>
    <mergeCell ref="I1:N1"/>
    <mergeCell ref="P1:U1"/>
    <mergeCell ref="W1:Y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6"/>
  <sheetViews>
    <sheetView topLeftCell="A18" workbookViewId="0">
      <selection activeCell="F47" sqref="F47"/>
    </sheetView>
  </sheetViews>
  <sheetFormatPr defaultColWidth="8.72972972972973" defaultRowHeight="14.1"/>
  <cols>
    <col min="1" max="1" width="35.3603603603604" customWidth="1"/>
    <col min="2" max="2" width="9" customWidth="1"/>
    <col min="3" max="3" width="11.4504504504505" customWidth="1"/>
    <col min="4" max="6" width="10.3603603603604" customWidth="1"/>
    <col min="7" max="8" width="10.3603603603604" hidden="1" customWidth="1"/>
    <col min="9" max="11" width="10.3603603603604" customWidth="1"/>
    <col min="12" max="13" width="10.3603603603604" hidden="1" customWidth="1"/>
    <col min="14" max="16" width="10.3603603603604" customWidth="1"/>
    <col min="17" max="18" width="10.3603603603604" hidden="1" customWidth="1"/>
    <col min="19" max="23" width="10.3603603603604" customWidth="1"/>
  </cols>
  <sheetData>
    <row r="1" ht="41" customHeight="1" spans="1:25">
      <c r="A1" s="1" t="s">
        <v>0</v>
      </c>
      <c r="B1" s="1" t="s">
        <v>1</v>
      </c>
      <c r="C1" s="1" t="s">
        <v>2</v>
      </c>
      <c r="D1" s="2" t="s">
        <v>45</v>
      </c>
      <c r="E1" s="3"/>
      <c r="F1" s="3"/>
      <c r="G1" s="3"/>
      <c r="H1" s="4"/>
      <c r="I1" s="2" t="s">
        <v>46</v>
      </c>
      <c r="J1" s="3"/>
      <c r="K1" s="3"/>
      <c r="L1" s="3"/>
      <c r="M1" s="4"/>
      <c r="N1" s="2" t="s">
        <v>47</v>
      </c>
      <c r="O1" s="3"/>
      <c r="P1" s="3"/>
      <c r="Q1" s="3"/>
      <c r="R1" s="4"/>
      <c r="S1" s="2" t="s">
        <v>48</v>
      </c>
      <c r="T1" s="3"/>
      <c r="U1" s="3"/>
      <c r="V1" s="3"/>
      <c r="W1" s="4"/>
      <c r="X1" s="5"/>
      <c r="Y1" s="5"/>
    </row>
    <row r="2" ht="27.25" customHeight="1" spans="1:25">
      <c r="A2" s="6"/>
      <c r="B2" s="7"/>
      <c r="C2" s="7"/>
      <c r="D2" s="7" t="s">
        <v>7</v>
      </c>
      <c r="E2" s="7" t="s">
        <v>8</v>
      </c>
      <c r="F2" s="7" t="s">
        <v>9</v>
      </c>
      <c r="G2" s="7" t="s">
        <v>10</v>
      </c>
      <c r="H2" s="7" t="s">
        <v>49</v>
      </c>
      <c r="I2" s="7" t="s">
        <v>7</v>
      </c>
      <c r="J2" s="7" t="s">
        <v>8</v>
      </c>
      <c r="K2" s="7" t="s">
        <v>9</v>
      </c>
      <c r="L2" s="7" t="s">
        <v>10</v>
      </c>
      <c r="M2" s="7" t="s">
        <v>49</v>
      </c>
      <c r="N2" s="7" t="s">
        <v>7</v>
      </c>
      <c r="O2" s="7" t="s">
        <v>8</v>
      </c>
      <c r="P2" s="7" t="s">
        <v>9</v>
      </c>
      <c r="Q2" s="7" t="s">
        <v>10</v>
      </c>
      <c r="R2" s="7" t="s">
        <v>49</v>
      </c>
      <c r="S2" s="7" t="s">
        <v>7</v>
      </c>
      <c r="T2" s="7" t="s">
        <v>8</v>
      </c>
      <c r="U2" s="7" t="s">
        <v>9</v>
      </c>
      <c r="V2" s="7" t="s">
        <v>10</v>
      </c>
      <c r="W2" s="7" t="s">
        <v>49</v>
      </c>
      <c r="Y2" s="8" t="s">
        <v>50</v>
      </c>
    </row>
    <row r="3" ht="27.25" customHeight="1" spans="1:25">
      <c r="A3" s="9" t="s">
        <v>51</v>
      </c>
      <c r="B3" s="10"/>
      <c r="C3" s="10"/>
      <c r="D3" s="11">
        <v>89.48</v>
      </c>
      <c r="E3" s="11">
        <v>12.81</v>
      </c>
      <c r="F3" s="11">
        <v>30.04</v>
      </c>
      <c r="G3" s="11">
        <v>76.67</v>
      </c>
      <c r="H3" s="11">
        <v>22.41</v>
      </c>
      <c r="I3" s="11">
        <v>92.08</v>
      </c>
      <c r="J3" s="11">
        <v>42.82</v>
      </c>
      <c r="K3" s="11">
        <v>67.61</v>
      </c>
      <c r="L3" s="11">
        <v>49.26</v>
      </c>
      <c r="M3" s="11">
        <v>58.46</v>
      </c>
      <c r="N3" s="11">
        <v>94.6</v>
      </c>
      <c r="O3" s="11">
        <v>66.11</v>
      </c>
      <c r="P3" s="11">
        <v>79.56</v>
      </c>
      <c r="Q3" s="11">
        <f>N3-O3</f>
        <v>28.49</v>
      </c>
      <c r="R3" s="11">
        <f>2*N3*O3/(N3+O3)</f>
        <v>77.8297056810404</v>
      </c>
      <c r="S3" s="11">
        <v>83.02</v>
      </c>
      <c r="T3" s="11">
        <v>14.97</v>
      </c>
      <c r="U3" s="12">
        <v>32.18</v>
      </c>
      <c r="V3" s="11">
        <f>S3-T3</f>
        <v>68.05</v>
      </c>
      <c r="W3" s="11">
        <f>2*S3*T3/(S3+T3)</f>
        <v>25.3660455148485</v>
      </c>
      <c r="Y3" s="8"/>
    </row>
    <row r="4" ht="27.25" customHeight="1" spans="1:25">
      <c r="A4" s="9" t="s">
        <v>14</v>
      </c>
      <c r="B4" s="10"/>
      <c r="C4" s="10"/>
      <c r="D4" s="11">
        <v>91.5</v>
      </c>
      <c r="E4" s="11">
        <v>76.21</v>
      </c>
      <c r="F4" s="11">
        <v>82.72</v>
      </c>
      <c r="G4" s="11">
        <v>15.29</v>
      </c>
      <c r="H4" s="11">
        <v>83.16</v>
      </c>
      <c r="I4" s="11">
        <v>83.63</v>
      </c>
      <c r="J4" s="11">
        <v>69.43</v>
      </c>
      <c r="K4" s="11">
        <v>75.51</v>
      </c>
      <c r="L4" s="11">
        <v>50.26</v>
      </c>
      <c r="M4" s="11">
        <v>75.87</v>
      </c>
      <c r="N4" s="11">
        <v>88.42</v>
      </c>
      <c r="O4" s="11">
        <v>72.22</v>
      </c>
      <c r="P4" s="11">
        <v>78.95</v>
      </c>
      <c r="Q4" s="11">
        <f t="shared" ref="Q4:Q36" si="0">N4-O4</f>
        <v>16.2</v>
      </c>
      <c r="R4" s="11">
        <f t="shared" ref="R4:R31" si="1">2*N4*O4/(N4+O4)</f>
        <v>79.5031424302789</v>
      </c>
      <c r="S4" s="11">
        <v>57.59</v>
      </c>
      <c r="T4" s="11">
        <v>39.68</v>
      </c>
      <c r="U4" s="12">
        <v>46.59</v>
      </c>
      <c r="V4" s="11">
        <f t="shared" ref="V4:V31" si="2">S4-T4</f>
        <v>17.91</v>
      </c>
      <c r="W4" s="11">
        <f t="shared" ref="W4:W31" si="3">2*S4*T4/(S4+T4)</f>
        <v>46.9861457797882</v>
      </c>
      <c r="Y4" s="8"/>
    </row>
    <row r="5" ht="27.25" customHeight="1" spans="1:25">
      <c r="A5" s="9" t="s">
        <v>15</v>
      </c>
      <c r="B5" s="13" t="s">
        <v>16</v>
      </c>
      <c r="C5" s="14">
        <v>2022</v>
      </c>
      <c r="D5" s="11">
        <v>91.5</v>
      </c>
      <c r="E5" s="11">
        <v>61.45</v>
      </c>
      <c r="F5" s="11">
        <v>74.62</v>
      </c>
      <c r="G5" s="11">
        <v>30.05</v>
      </c>
      <c r="H5" s="11">
        <v>73.52</v>
      </c>
      <c r="I5" s="11">
        <v>93.43</v>
      </c>
      <c r="J5" s="11">
        <v>69.31</v>
      </c>
      <c r="K5" s="11">
        <v>80.61</v>
      </c>
      <c r="L5" s="11">
        <v>51.26</v>
      </c>
      <c r="M5" s="11">
        <v>79.58</v>
      </c>
      <c r="N5" s="11">
        <v>96.53</v>
      </c>
      <c r="O5" s="11">
        <v>77.08</v>
      </c>
      <c r="P5" s="11">
        <v>85.71</v>
      </c>
      <c r="Q5" s="11">
        <f t="shared" si="0"/>
        <v>19.45</v>
      </c>
      <c r="R5" s="11">
        <f t="shared" si="1"/>
        <v>85.7154818270837</v>
      </c>
      <c r="S5" s="11">
        <v>78.19</v>
      </c>
      <c r="T5" s="11">
        <v>55.45</v>
      </c>
      <c r="U5" s="12">
        <v>64.95</v>
      </c>
      <c r="V5" s="11">
        <f t="shared" si="2"/>
        <v>22.74</v>
      </c>
      <c r="W5" s="11">
        <f t="shared" si="3"/>
        <v>64.8852963184675</v>
      </c>
      <c r="Y5" s="8"/>
    </row>
    <row r="6" ht="27.25" customHeight="1" spans="1:25">
      <c r="A6" s="9" t="s">
        <v>17</v>
      </c>
      <c r="B6" s="13"/>
      <c r="C6" s="14"/>
      <c r="D6" s="11">
        <v>91.5</v>
      </c>
      <c r="E6" s="11">
        <v>69.3</v>
      </c>
      <c r="F6" s="11">
        <v>53.65</v>
      </c>
      <c r="G6" s="11">
        <v>31.05</v>
      </c>
      <c r="H6" s="11">
        <v>78.87</v>
      </c>
      <c r="I6" s="11">
        <v>94.05</v>
      </c>
      <c r="J6" s="11">
        <v>57.1</v>
      </c>
      <c r="K6" s="11">
        <v>73.11</v>
      </c>
      <c r="L6" s="11">
        <v>52.26</v>
      </c>
      <c r="M6" s="11">
        <v>71.06</v>
      </c>
      <c r="N6" s="11">
        <v>97.15</v>
      </c>
      <c r="O6" s="11">
        <v>65.55</v>
      </c>
      <c r="P6" s="11">
        <v>78.83</v>
      </c>
      <c r="Q6" s="11">
        <f t="shared" si="0"/>
        <v>31.6</v>
      </c>
      <c r="R6" s="11">
        <f t="shared" si="1"/>
        <v>78.2812845728334</v>
      </c>
      <c r="S6" s="13"/>
      <c r="T6" s="13"/>
      <c r="U6" s="15"/>
      <c r="V6" s="11"/>
      <c r="W6" s="11"/>
      <c r="Y6" s="8"/>
    </row>
    <row r="7" ht="27.25" customHeight="1" spans="1:25">
      <c r="A7" s="9" t="s">
        <v>18</v>
      </c>
      <c r="B7" s="13" t="s">
        <v>19</v>
      </c>
      <c r="C7" s="14">
        <v>2023</v>
      </c>
      <c r="D7" s="11">
        <v>91.08</v>
      </c>
      <c r="E7" s="11">
        <v>48.85</v>
      </c>
      <c r="F7" s="11">
        <v>66.13</v>
      </c>
      <c r="G7" s="11">
        <v>42.23</v>
      </c>
      <c r="H7" s="11">
        <v>63.59</v>
      </c>
      <c r="I7" s="11">
        <v>92.67</v>
      </c>
      <c r="J7" s="11">
        <v>54.84</v>
      </c>
      <c r="K7" s="11">
        <v>70.14</v>
      </c>
      <c r="L7" s="11">
        <v>53.26</v>
      </c>
      <c r="M7" s="11">
        <v>68.9</v>
      </c>
      <c r="N7" s="11">
        <v>95.73</v>
      </c>
      <c r="O7" s="11">
        <v>60.99</v>
      </c>
      <c r="P7" s="11">
        <v>75.76</v>
      </c>
      <c r="Q7" s="11">
        <f t="shared" si="0"/>
        <v>34.74</v>
      </c>
      <c r="R7" s="11">
        <f t="shared" si="1"/>
        <v>74.5096056661562</v>
      </c>
      <c r="S7" s="11">
        <v>77.45</v>
      </c>
      <c r="T7" s="11">
        <v>39.08</v>
      </c>
      <c r="U7" s="12">
        <v>53.72</v>
      </c>
      <c r="V7" s="11">
        <f t="shared" si="2"/>
        <v>38.37</v>
      </c>
      <c r="W7" s="11">
        <f t="shared" si="3"/>
        <v>51.947927572299</v>
      </c>
      <c r="Y7" s="8"/>
    </row>
    <row r="8" ht="27.25" customHeight="1" spans="1:25">
      <c r="A8" s="9" t="s">
        <v>20</v>
      </c>
      <c r="B8" s="13" t="s">
        <v>16</v>
      </c>
      <c r="C8" s="14">
        <v>2024</v>
      </c>
      <c r="D8" s="11">
        <v>92.17</v>
      </c>
      <c r="E8" s="11">
        <v>41.65</v>
      </c>
      <c r="F8" s="11">
        <v>64.25</v>
      </c>
      <c r="G8" s="11">
        <v>50.52</v>
      </c>
      <c r="H8" s="11">
        <v>57.37</v>
      </c>
      <c r="I8" s="11">
        <v>93.83</v>
      </c>
      <c r="J8" s="11">
        <v>57</v>
      </c>
      <c r="K8" s="11">
        <v>73.88</v>
      </c>
      <c r="L8" s="11">
        <v>54.26</v>
      </c>
      <c r="M8" s="11">
        <v>70.92</v>
      </c>
      <c r="N8" s="11">
        <v>97.34</v>
      </c>
      <c r="O8" s="11">
        <v>51.38</v>
      </c>
      <c r="P8" s="11">
        <v>71.5</v>
      </c>
      <c r="Q8" s="11">
        <f t="shared" si="0"/>
        <v>45.96</v>
      </c>
      <c r="R8" s="11">
        <f t="shared" si="1"/>
        <v>67.2583270575578</v>
      </c>
      <c r="S8" s="11">
        <v>84.66</v>
      </c>
      <c r="T8" s="11">
        <v>37.75</v>
      </c>
      <c r="U8" s="12">
        <v>56.61</v>
      </c>
      <c r="V8" s="11">
        <f t="shared" si="2"/>
        <v>46.91</v>
      </c>
      <c r="W8" s="11">
        <f t="shared" si="3"/>
        <v>52.2165672739155</v>
      </c>
      <c r="Y8" s="8"/>
    </row>
    <row r="9" ht="27.25" customHeight="1" spans="1:25">
      <c r="A9" s="9" t="s">
        <v>21</v>
      </c>
      <c r="B9" s="10" t="s">
        <v>22</v>
      </c>
      <c r="C9" s="16">
        <v>2025</v>
      </c>
      <c r="D9" s="11">
        <v>91.92</v>
      </c>
      <c r="E9" s="11">
        <v>56.28</v>
      </c>
      <c r="F9" s="11">
        <v>70.87</v>
      </c>
      <c r="G9" s="11">
        <v>35.64</v>
      </c>
      <c r="H9" s="11">
        <v>69.81</v>
      </c>
      <c r="I9" s="11">
        <v>93.6</v>
      </c>
      <c r="J9" s="11">
        <v>73.51</v>
      </c>
      <c r="K9" s="11">
        <v>78.42</v>
      </c>
      <c r="L9" s="11">
        <v>55.26</v>
      </c>
      <c r="M9" s="11">
        <v>82.35</v>
      </c>
      <c r="N9" s="11">
        <v>97.22</v>
      </c>
      <c r="O9" s="11">
        <v>79.07</v>
      </c>
      <c r="P9" s="11">
        <v>84.36</v>
      </c>
      <c r="Q9" s="11">
        <f t="shared" si="0"/>
        <v>18.15</v>
      </c>
      <c r="R9" s="11">
        <f t="shared" si="1"/>
        <v>87.2106801293323</v>
      </c>
      <c r="S9" s="13"/>
      <c r="T9" s="13"/>
      <c r="U9" s="15"/>
      <c r="V9" s="11"/>
      <c r="W9" s="11"/>
      <c r="Y9" s="8"/>
    </row>
    <row r="10" ht="27.25" customHeight="1" spans="1:25">
      <c r="A10" s="17" t="s">
        <v>34</v>
      </c>
      <c r="B10" s="18" t="s">
        <v>19</v>
      </c>
      <c r="C10" s="19">
        <v>2023</v>
      </c>
      <c r="D10" s="20">
        <v>80.21</v>
      </c>
      <c r="E10" s="20">
        <v>63.32</v>
      </c>
      <c r="F10" s="20">
        <v>69.37</v>
      </c>
      <c r="G10" s="11">
        <v>16.89</v>
      </c>
      <c r="H10" s="11">
        <v>70.77</v>
      </c>
      <c r="I10" s="20">
        <v>88.32</v>
      </c>
      <c r="J10" s="20">
        <v>79.99</v>
      </c>
      <c r="K10" s="20">
        <v>83.38</v>
      </c>
      <c r="L10" s="11">
        <v>56.26</v>
      </c>
      <c r="M10" s="11">
        <v>83.95</v>
      </c>
      <c r="N10" s="20">
        <v>90.14</v>
      </c>
      <c r="O10" s="20">
        <v>81.55</v>
      </c>
      <c r="P10" s="20">
        <v>85.54</v>
      </c>
      <c r="Q10" s="11">
        <f t="shared" si="0"/>
        <v>8.59</v>
      </c>
      <c r="R10" s="11">
        <f t="shared" si="1"/>
        <v>85.6301124119052</v>
      </c>
      <c r="S10" s="18"/>
      <c r="T10" s="18"/>
      <c r="U10" s="21"/>
      <c r="V10" s="11"/>
      <c r="W10" s="11"/>
      <c r="Y10" s="8"/>
    </row>
    <row r="11" ht="27.25" customHeight="1" spans="1:25">
      <c r="A11" s="9" t="s">
        <v>23</v>
      </c>
      <c r="B11" s="13" t="s">
        <v>24</v>
      </c>
      <c r="C11" s="14">
        <v>2024</v>
      </c>
      <c r="D11" s="11">
        <v>87.28</v>
      </c>
      <c r="E11" s="11">
        <v>83.04</v>
      </c>
      <c r="F11" s="11">
        <v>83.68</v>
      </c>
      <c r="G11" s="11">
        <v>4.24</v>
      </c>
      <c r="H11" s="11">
        <v>85.11</v>
      </c>
      <c r="I11" s="11">
        <v>91.9</v>
      </c>
      <c r="J11" s="11">
        <v>85.99</v>
      </c>
      <c r="K11" s="11">
        <v>88.59</v>
      </c>
      <c r="L11" s="11">
        <v>57.26</v>
      </c>
      <c r="M11" s="11">
        <v>88.85</v>
      </c>
      <c r="N11" s="11">
        <v>96.52</v>
      </c>
      <c r="O11" s="11">
        <v>94.07</v>
      </c>
      <c r="P11" s="11">
        <v>95.26</v>
      </c>
      <c r="Q11" s="11">
        <f t="shared" si="0"/>
        <v>2.45</v>
      </c>
      <c r="R11" s="11">
        <f t="shared" si="1"/>
        <v>95.2792528464243</v>
      </c>
      <c r="S11" s="11">
        <v>82.2</v>
      </c>
      <c r="T11" s="11">
        <v>69.72</v>
      </c>
      <c r="U11" s="12">
        <v>74.79</v>
      </c>
      <c r="V11" s="11">
        <f t="shared" si="2"/>
        <v>12.48</v>
      </c>
      <c r="W11" s="11">
        <f t="shared" si="3"/>
        <v>75.4473933649289</v>
      </c>
      <c r="Y11" s="8"/>
    </row>
    <row r="12" ht="27.25" customHeight="1" spans="1:25">
      <c r="A12" s="9" t="s">
        <v>32</v>
      </c>
      <c r="B12" s="13"/>
      <c r="C12" s="14"/>
      <c r="D12" s="11">
        <v>82.21</v>
      </c>
      <c r="E12" s="11">
        <v>75.08</v>
      </c>
      <c r="F12" s="11">
        <v>77.5</v>
      </c>
      <c r="G12" s="11">
        <v>5.24</v>
      </c>
      <c r="H12" s="11">
        <v>78.48</v>
      </c>
      <c r="I12" s="11">
        <v>90.88</v>
      </c>
      <c r="J12" s="11">
        <v>86.06</v>
      </c>
      <c r="K12" s="11">
        <v>88.08</v>
      </c>
      <c r="L12" s="11">
        <v>58.26</v>
      </c>
      <c r="M12" s="11">
        <v>88.4</v>
      </c>
      <c r="N12" s="11">
        <v>96.68</v>
      </c>
      <c r="O12" s="11">
        <v>94.1</v>
      </c>
      <c r="P12" s="11">
        <v>95.27</v>
      </c>
      <c r="Q12" s="11">
        <f t="shared" si="0"/>
        <v>2.58000000000001</v>
      </c>
      <c r="R12" s="11">
        <f t="shared" si="1"/>
        <v>95.3725547751337</v>
      </c>
      <c r="S12" s="13"/>
      <c r="T12" s="13"/>
      <c r="U12" s="15"/>
      <c r="V12" s="11"/>
      <c r="W12" s="11"/>
      <c r="Y12" s="8"/>
    </row>
    <row r="13" ht="27.25" customHeight="1" spans="1:25">
      <c r="A13" s="9" t="s">
        <v>25</v>
      </c>
      <c r="B13" s="13" t="s">
        <v>16</v>
      </c>
      <c r="C13" s="14">
        <v>2025</v>
      </c>
      <c r="D13" s="11">
        <v>87.36</v>
      </c>
      <c r="E13" s="11">
        <v>83.67</v>
      </c>
      <c r="F13" s="11">
        <v>84.35</v>
      </c>
      <c r="G13" s="11">
        <v>3.69</v>
      </c>
      <c r="H13" s="11">
        <v>85.48</v>
      </c>
      <c r="I13" s="11">
        <v>91.68</v>
      </c>
      <c r="J13" s="11">
        <v>87.18</v>
      </c>
      <c r="K13" s="11">
        <v>89.2</v>
      </c>
      <c r="L13" s="11">
        <v>4.5</v>
      </c>
      <c r="M13" s="11">
        <v>89.37</v>
      </c>
      <c r="N13" s="11">
        <v>96.98</v>
      </c>
      <c r="O13" s="11">
        <v>89.88</v>
      </c>
      <c r="P13" s="11">
        <v>90.55</v>
      </c>
      <c r="Q13" s="11">
        <f t="shared" si="0"/>
        <v>7.10000000000001</v>
      </c>
      <c r="R13" s="11">
        <f t="shared" si="1"/>
        <v>93.2951129187627</v>
      </c>
      <c r="S13" s="11">
        <v>82.66</v>
      </c>
      <c r="T13" s="11">
        <v>72.7</v>
      </c>
      <c r="U13" s="12">
        <v>76.55</v>
      </c>
      <c r="V13" s="11">
        <f t="shared" si="2"/>
        <v>9.95999999999999</v>
      </c>
      <c r="W13" s="11">
        <f t="shared" si="3"/>
        <v>77.3607363542739</v>
      </c>
      <c r="Y13" s="8"/>
    </row>
    <row r="14" ht="27.25" customHeight="1" spans="1:25">
      <c r="A14" s="9"/>
      <c r="B14" s="10"/>
      <c r="C14" s="10"/>
      <c r="D14" s="13"/>
      <c r="E14" s="13"/>
      <c r="F14" s="13"/>
      <c r="G14" s="13"/>
      <c r="H14" s="13"/>
      <c r="I14" s="13"/>
      <c r="J14" s="13"/>
      <c r="K14" s="13"/>
      <c r="L14" s="11"/>
      <c r="M14" s="13"/>
      <c r="N14" s="13"/>
      <c r="O14" s="13"/>
      <c r="P14" s="13"/>
      <c r="Q14" s="13"/>
      <c r="R14" s="11"/>
      <c r="S14" s="13"/>
      <c r="T14" s="13"/>
      <c r="U14" s="15"/>
      <c r="V14" s="11"/>
      <c r="W14" s="11"/>
    </row>
    <row r="15" ht="27.25" customHeight="1" spans="1:25">
      <c r="A15" s="17" t="s">
        <v>52</v>
      </c>
      <c r="B15" s="22"/>
      <c r="C15" s="22"/>
      <c r="D15" s="23">
        <v>92.68</v>
      </c>
      <c r="E15" s="23">
        <v>81.38</v>
      </c>
      <c r="F15" s="23">
        <v>86.07</v>
      </c>
      <c r="G15" s="11">
        <v>11.3</v>
      </c>
      <c r="H15" s="11">
        <v>86.66</v>
      </c>
      <c r="I15" s="23">
        <v>94.27</v>
      </c>
      <c r="J15" s="23">
        <v>83.45</v>
      </c>
      <c r="K15" s="23">
        <v>88.27</v>
      </c>
      <c r="L15" s="11">
        <v>10.82</v>
      </c>
      <c r="M15" s="11">
        <v>88.53</v>
      </c>
      <c r="N15" s="23">
        <v>96.52</v>
      </c>
      <c r="O15" s="23">
        <v>90.94</v>
      </c>
      <c r="P15" s="23">
        <v>93.02</v>
      </c>
      <c r="Q15" s="13">
        <f t="shared" si="0"/>
        <v>5.58</v>
      </c>
      <c r="R15" s="11">
        <f t="shared" si="1"/>
        <v>93.6469518830684</v>
      </c>
      <c r="S15" s="23">
        <v>85.53</v>
      </c>
      <c r="T15" s="23">
        <v>67.95</v>
      </c>
      <c r="U15" s="24">
        <v>74.87</v>
      </c>
      <c r="V15" s="11">
        <f t="shared" si="2"/>
        <v>17.58</v>
      </c>
      <c r="W15" s="11">
        <f t="shared" si="3"/>
        <v>75.7331704456607</v>
      </c>
    </row>
    <row r="16" ht="27.25" customHeight="1" spans="1:25">
      <c r="A16" s="9" t="s">
        <v>53</v>
      </c>
      <c r="B16" s="10"/>
      <c r="C16" s="10"/>
      <c r="D16" s="11">
        <v>92.09</v>
      </c>
      <c r="E16" s="11">
        <v>83.76</v>
      </c>
      <c r="F16" s="11">
        <v>87</v>
      </c>
      <c r="G16" s="11">
        <v>8.33</v>
      </c>
      <c r="H16" s="11">
        <v>87.73</v>
      </c>
      <c r="I16" s="11">
        <v>94.08</v>
      </c>
      <c r="J16" s="11">
        <v>86.21</v>
      </c>
      <c r="K16" s="11">
        <v>90.06</v>
      </c>
      <c r="L16" s="11">
        <v>7.87</v>
      </c>
      <c r="M16" s="11">
        <v>89.97</v>
      </c>
      <c r="N16" s="11">
        <v>97.12</v>
      </c>
      <c r="O16" s="11">
        <v>94.97</v>
      </c>
      <c r="P16" s="11">
        <v>95.78</v>
      </c>
      <c r="Q16" s="13">
        <f t="shared" si="0"/>
        <v>2.15000000000001</v>
      </c>
      <c r="R16" s="11">
        <f t="shared" si="1"/>
        <v>96.0329678796397</v>
      </c>
      <c r="S16" s="11">
        <v>84.59</v>
      </c>
      <c r="T16" s="11">
        <v>72.87</v>
      </c>
      <c r="U16" s="12">
        <v>77.84</v>
      </c>
      <c r="V16" s="11">
        <f t="shared" si="2"/>
        <v>11.72</v>
      </c>
      <c r="W16" s="11">
        <f t="shared" si="3"/>
        <v>78.293830814175</v>
      </c>
      <c r="X16" s="25">
        <v>0.01</v>
      </c>
    </row>
    <row r="17" ht="27.25" customHeight="1" spans="1:24">
      <c r="A17" s="9" t="s">
        <v>54</v>
      </c>
      <c r="B17" s="26"/>
      <c r="C17" s="26"/>
      <c r="D17" s="11">
        <v>92.93</v>
      </c>
      <c r="E17" s="11">
        <v>83.21</v>
      </c>
      <c r="F17" s="11">
        <v>87.06</v>
      </c>
      <c r="G17" s="13"/>
      <c r="H17" s="11">
        <v>87.8</v>
      </c>
      <c r="I17" s="11">
        <v>93.77</v>
      </c>
      <c r="J17" s="11">
        <v>86.59</v>
      </c>
      <c r="K17" s="11">
        <v>89.61</v>
      </c>
      <c r="L17" s="13"/>
      <c r="M17" s="11">
        <v>90.04</v>
      </c>
      <c r="N17" s="11">
        <v>96.42</v>
      </c>
      <c r="O17" s="11">
        <v>92.43</v>
      </c>
      <c r="P17" s="11">
        <v>94.13</v>
      </c>
      <c r="Q17" s="13">
        <f t="shared" si="0"/>
        <v>3.98999999999999</v>
      </c>
      <c r="R17" s="11">
        <f t="shared" si="1"/>
        <v>94.3828498808578</v>
      </c>
      <c r="S17" s="11">
        <v>83.08</v>
      </c>
      <c r="T17" s="11">
        <v>67.75</v>
      </c>
      <c r="U17" s="12">
        <v>73.86</v>
      </c>
      <c r="V17" s="11">
        <f t="shared" si="2"/>
        <v>15.33</v>
      </c>
      <c r="W17" s="11">
        <f t="shared" si="3"/>
        <v>74.6359477557515</v>
      </c>
    </row>
    <row r="18" ht="27.25" customHeight="1" spans="1:24">
      <c r="A18" s="9" t="s">
        <v>55</v>
      </c>
      <c r="B18" s="26"/>
      <c r="C18" s="26"/>
      <c r="D18" s="11">
        <v>92.34</v>
      </c>
      <c r="E18" s="11">
        <v>83.72</v>
      </c>
      <c r="F18" s="11">
        <v>87.11</v>
      </c>
      <c r="G18" s="11">
        <v>8.62</v>
      </c>
      <c r="H18" s="11">
        <v>87.82</v>
      </c>
      <c r="I18" s="11">
        <v>93.87</v>
      </c>
      <c r="J18" s="11">
        <v>87.7</v>
      </c>
      <c r="K18" s="11">
        <v>90.31</v>
      </c>
      <c r="L18" s="11">
        <v>6.17</v>
      </c>
      <c r="M18" s="11">
        <v>90.68</v>
      </c>
      <c r="N18" s="11">
        <v>97.17</v>
      </c>
      <c r="O18" s="11">
        <v>94.97</v>
      </c>
      <c r="P18" s="11">
        <v>95.86</v>
      </c>
      <c r="Q18" s="13">
        <f t="shared" si="0"/>
        <v>2.2</v>
      </c>
      <c r="R18" s="11">
        <f t="shared" si="1"/>
        <v>96.057405017175</v>
      </c>
      <c r="S18" s="11">
        <v>84.92</v>
      </c>
      <c r="T18" s="11">
        <v>72.05</v>
      </c>
      <c r="U18" s="12">
        <v>77.5</v>
      </c>
      <c r="V18" s="11">
        <f t="shared" si="2"/>
        <v>12.87</v>
      </c>
      <c r="W18" s="11">
        <f t="shared" si="3"/>
        <v>77.9573931324457</v>
      </c>
    </row>
    <row r="19" ht="27.25" customHeight="1" spans="1:24">
      <c r="A19" s="9" t="s">
        <v>56</v>
      </c>
      <c r="B19" s="26"/>
      <c r="C19" s="26"/>
      <c r="D19" s="11">
        <v>92.85</v>
      </c>
      <c r="E19" s="11">
        <v>83.63</v>
      </c>
      <c r="F19" s="11">
        <v>87.21</v>
      </c>
      <c r="G19" s="13"/>
      <c r="H19" s="11">
        <v>88</v>
      </c>
      <c r="I19" s="11">
        <v>93.73</v>
      </c>
      <c r="J19" s="11">
        <v>86.78</v>
      </c>
      <c r="K19" s="11">
        <v>89.75</v>
      </c>
      <c r="L19" s="13"/>
      <c r="M19" s="11">
        <v>90.12</v>
      </c>
      <c r="N19" s="11">
        <v>96.58</v>
      </c>
      <c r="O19" s="11">
        <v>92.7</v>
      </c>
      <c r="P19" s="11">
        <v>94.34</v>
      </c>
      <c r="Q19" s="13">
        <f t="shared" si="0"/>
        <v>3.88</v>
      </c>
      <c r="R19" s="11">
        <f t="shared" si="1"/>
        <v>94.6002324598478</v>
      </c>
      <c r="S19" s="11">
        <v>85.03</v>
      </c>
      <c r="T19" s="11">
        <v>69.55</v>
      </c>
      <c r="U19" s="12">
        <v>75.49</v>
      </c>
      <c r="V19" s="11">
        <f t="shared" si="2"/>
        <v>15.48</v>
      </c>
      <c r="W19" s="11">
        <f t="shared" si="3"/>
        <v>76.5148984344676</v>
      </c>
    </row>
    <row r="20" ht="27.25" customHeight="1" spans="1:24">
      <c r="A20" s="9" t="s">
        <v>57</v>
      </c>
      <c r="B20" s="26"/>
      <c r="C20" s="26"/>
      <c r="D20" s="11">
        <v>92.68</v>
      </c>
      <c r="E20" s="11">
        <v>84.05</v>
      </c>
      <c r="F20" s="11">
        <v>87.55</v>
      </c>
      <c r="G20" s="11">
        <v>8.63</v>
      </c>
      <c r="H20" s="11">
        <v>88.15</v>
      </c>
      <c r="I20" s="11">
        <v>94.33</v>
      </c>
      <c r="J20" s="11">
        <v>87.87</v>
      </c>
      <c r="K20" s="11">
        <v>90.49</v>
      </c>
      <c r="L20" s="11">
        <v>6.46</v>
      </c>
      <c r="M20" s="11">
        <v>90.99</v>
      </c>
      <c r="N20" s="11">
        <v>97.25</v>
      </c>
      <c r="O20" s="11">
        <v>94.98</v>
      </c>
      <c r="P20" s="11">
        <v>95.9</v>
      </c>
      <c r="Q20" s="13">
        <f t="shared" si="0"/>
        <v>2.27</v>
      </c>
      <c r="R20" s="11">
        <f t="shared" si="1"/>
        <v>96.1015970452063</v>
      </c>
      <c r="S20" s="11">
        <v>85.13</v>
      </c>
      <c r="T20" s="11">
        <v>72.6</v>
      </c>
      <c r="U20" s="12">
        <v>77.64</v>
      </c>
      <c r="V20" s="11">
        <f t="shared" si="2"/>
        <v>12.53</v>
      </c>
      <c r="W20" s="11">
        <f t="shared" si="3"/>
        <v>78.3673112280479</v>
      </c>
    </row>
    <row r="21" ht="27.25" customHeight="1" spans="1:24">
      <c r="A21" s="9" t="s">
        <v>58</v>
      </c>
      <c r="B21" s="10"/>
      <c r="C21" s="10"/>
      <c r="D21" s="11">
        <v>93.52</v>
      </c>
      <c r="E21" s="11">
        <v>84.35</v>
      </c>
      <c r="F21" s="11">
        <v>87.88</v>
      </c>
      <c r="G21" s="13"/>
      <c r="H21" s="11">
        <v>88.7</v>
      </c>
      <c r="I21" s="11">
        <v>93.8</v>
      </c>
      <c r="J21" s="11">
        <v>86.4</v>
      </c>
      <c r="K21" s="11">
        <v>89.49</v>
      </c>
      <c r="L21" s="13"/>
      <c r="M21" s="11">
        <v>89.95</v>
      </c>
      <c r="N21" s="11">
        <v>96.65</v>
      </c>
      <c r="O21" s="11">
        <v>92.79</v>
      </c>
      <c r="P21" s="11">
        <v>94.42</v>
      </c>
      <c r="Q21" s="13">
        <f t="shared" si="0"/>
        <v>3.86</v>
      </c>
      <c r="R21" s="11">
        <f t="shared" si="1"/>
        <v>94.6806746199324</v>
      </c>
      <c r="S21" s="11">
        <v>84.82</v>
      </c>
      <c r="T21" s="11">
        <v>68.88</v>
      </c>
      <c r="U21" s="12">
        <v>74.99</v>
      </c>
      <c r="V21" s="11">
        <f t="shared" si="2"/>
        <v>15.94</v>
      </c>
      <c r="W21" s="11">
        <f t="shared" si="3"/>
        <v>76.0234430709174</v>
      </c>
    </row>
    <row r="22" ht="27.25" customHeight="1" spans="1:24">
      <c r="A22" s="9" t="s">
        <v>59</v>
      </c>
      <c r="B22" s="10"/>
      <c r="C22" s="10"/>
      <c r="D22" s="11">
        <v>93.01</v>
      </c>
      <c r="E22" s="11">
        <v>84.22</v>
      </c>
      <c r="F22" s="11">
        <v>87.86</v>
      </c>
      <c r="G22" s="11">
        <v>8.79</v>
      </c>
      <c r="H22" s="11">
        <v>88.4</v>
      </c>
      <c r="I22" s="11">
        <v>94.22</v>
      </c>
      <c r="J22" s="11">
        <v>87.48</v>
      </c>
      <c r="K22" s="11">
        <v>90.5</v>
      </c>
      <c r="L22" s="11">
        <v>6.74</v>
      </c>
      <c r="M22" s="11">
        <v>90.72</v>
      </c>
      <c r="N22" s="11">
        <v>97.27</v>
      </c>
      <c r="O22" s="11">
        <v>94.71</v>
      </c>
      <c r="P22" s="11">
        <v>95.69</v>
      </c>
      <c r="Q22" s="13">
        <f t="shared" si="0"/>
        <v>2.56</v>
      </c>
      <c r="R22" s="11">
        <f t="shared" si="1"/>
        <v>95.9729315553704</v>
      </c>
      <c r="S22" s="11">
        <v>85.33</v>
      </c>
      <c r="T22" s="11">
        <v>72.75</v>
      </c>
      <c r="U22" s="12">
        <v>77.86</v>
      </c>
      <c r="V22" s="11">
        <f t="shared" si="2"/>
        <v>12.58</v>
      </c>
      <c r="W22" s="11">
        <f t="shared" si="3"/>
        <v>78.5394420546559</v>
      </c>
    </row>
    <row r="23" ht="27.25" customHeight="1" spans="1:24">
      <c r="A23" s="9" t="s">
        <v>60</v>
      </c>
      <c r="B23" s="10"/>
      <c r="C23" s="10"/>
      <c r="D23" s="11">
        <v>93.1</v>
      </c>
      <c r="E23" s="11">
        <v>83.72</v>
      </c>
      <c r="F23" s="11">
        <v>87.79</v>
      </c>
      <c r="G23" s="13"/>
      <c r="H23" s="11">
        <v>88.16</v>
      </c>
      <c r="I23" s="11">
        <v>94.13</v>
      </c>
      <c r="J23" s="11">
        <v>86.97</v>
      </c>
      <c r="K23" s="11">
        <v>90.05</v>
      </c>
      <c r="L23" s="13"/>
      <c r="M23" s="11">
        <v>90.41</v>
      </c>
      <c r="N23" s="11">
        <v>96.63</v>
      </c>
      <c r="O23" s="11">
        <v>92.53</v>
      </c>
      <c r="P23" s="11">
        <v>94.28</v>
      </c>
      <c r="Q23" s="13">
        <f t="shared" si="0"/>
        <v>4.09999999999999</v>
      </c>
      <c r="R23" s="11">
        <f t="shared" si="1"/>
        <v>94.5355667160076</v>
      </c>
      <c r="S23" s="11">
        <v>84.62</v>
      </c>
      <c r="T23" s="11">
        <v>69.1</v>
      </c>
      <c r="U23" s="12">
        <v>75.4</v>
      </c>
      <c r="V23" s="11">
        <f t="shared" si="2"/>
        <v>15.52</v>
      </c>
      <c r="W23" s="11">
        <f t="shared" si="3"/>
        <v>76.0765287535779</v>
      </c>
    </row>
    <row r="24" ht="27.25" customHeight="1" spans="1:24">
      <c r="A24" s="9" t="s">
        <v>61</v>
      </c>
      <c r="B24" s="10"/>
      <c r="C24" s="10"/>
      <c r="D24" s="11">
        <v>92.42</v>
      </c>
      <c r="E24" s="11">
        <v>83.38</v>
      </c>
      <c r="F24" s="11">
        <v>87.08</v>
      </c>
      <c r="G24" s="11">
        <v>9.04</v>
      </c>
      <c r="H24" s="11">
        <v>87.67</v>
      </c>
      <c r="I24" s="11">
        <v>94.57</v>
      </c>
      <c r="J24" s="11">
        <v>87.87</v>
      </c>
      <c r="K24" s="11">
        <v>90.76</v>
      </c>
      <c r="L24" s="11">
        <v>6.7</v>
      </c>
      <c r="M24" s="11">
        <v>91.1</v>
      </c>
      <c r="N24" s="11">
        <v>97.28</v>
      </c>
      <c r="O24" s="11">
        <v>94.88</v>
      </c>
      <c r="P24" s="11">
        <v>95.83</v>
      </c>
      <c r="Q24" s="13">
        <f t="shared" si="0"/>
        <v>2.40000000000001</v>
      </c>
      <c r="R24" s="11">
        <f t="shared" si="1"/>
        <v>96.065012489592</v>
      </c>
      <c r="S24" s="11">
        <v>85.33</v>
      </c>
      <c r="T24" s="11">
        <v>71.85</v>
      </c>
      <c r="U24" s="12">
        <v>77.53</v>
      </c>
      <c r="V24" s="11">
        <f t="shared" si="2"/>
        <v>13.48</v>
      </c>
      <c r="W24" s="11">
        <f t="shared" si="3"/>
        <v>78.0119671713958</v>
      </c>
    </row>
    <row r="25" ht="27.25" customHeight="1" spans="1:24">
      <c r="A25" s="9" t="s">
        <v>62</v>
      </c>
      <c r="B25" s="10"/>
      <c r="C25" s="10"/>
      <c r="D25" s="11">
        <v>92.85</v>
      </c>
      <c r="E25" s="11">
        <v>83.72</v>
      </c>
      <c r="F25" s="11">
        <v>87.49</v>
      </c>
      <c r="G25" s="13"/>
      <c r="H25" s="11">
        <v>88.05</v>
      </c>
      <c r="I25" s="11">
        <v>94.35</v>
      </c>
      <c r="J25" s="11">
        <v>87.01</v>
      </c>
      <c r="K25" s="11">
        <v>90.18</v>
      </c>
      <c r="L25" s="13"/>
      <c r="M25" s="11">
        <v>90.53</v>
      </c>
      <c r="N25" s="11">
        <v>96.65</v>
      </c>
      <c r="O25" s="11">
        <v>92.59</v>
      </c>
      <c r="P25" s="11">
        <v>94.29</v>
      </c>
      <c r="Q25" s="13">
        <f t="shared" si="0"/>
        <v>4.06</v>
      </c>
      <c r="R25" s="11">
        <f t="shared" si="1"/>
        <v>94.5764478968506</v>
      </c>
      <c r="S25" s="11">
        <v>85.43</v>
      </c>
      <c r="T25" s="11">
        <v>69.87</v>
      </c>
      <c r="U25" s="12">
        <v>76.23</v>
      </c>
      <c r="V25" s="11">
        <f t="shared" si="2"/>
        <v>15.56</v>
      </c>
      <c r="W25" s="11">
        <f t="shared" si="3"/>
        <v>76.8704971023825</v>
      </c>
    </row>
    <row r="26" ht="27.25" customHeight="1" spans="1:24">
      <c r="A26" s="9" t="s">
        <v>63</v>
      </c>
      <c r="B26" s="10"/>
      <c r="C26" s="10"/>
      <c r="D26" s="11">
        <v>92.09</v>
      </c>
      <c r="E26" s="11">
        <v>83.8</v>
      </c>
      <c r="F26" s="11">
        <v>87.06</v>
      </c>
      <c r="G26" s="11">
        <v>8.29</v>
      </c>
      <c r="H26" s="11">
        <v>87.75</v>
      </c>
      <c r="I26" s="11">
        <v>93.77</v>
      </c>
      <c r="J26" s="11">
        <v>87.33</v>
      </c>
      <c r="K26" s="11">
        <v>90.1</v>
      </c>
      <c r="L26" s="11">
        <v>6.44</v>
      </c>
      <c r="M26" s="11">
        <v>90.44</v>
      </c>
      <c r="N26" s="11">
        <v>97.2</v>
      </c>
      <c r="O26" s="11">
        <v>95.01</v>
      </c>
      <c r="P26" s="11">
        <v>95.85</v>
      </c>
      <c r="Q26" s="13">
        <f t="shared" si="0"/>
        <v>2.19</v>
      </c>
      <c r="R26" s="11">
        <f t="shared" si="1"/>
        <v>96.0925238020915</v>
      </c>
      <c r="S26" s="11">
        <v>83.82</v>
      </c>
      <c r="T26" s="11">
        <v>71.92</v>
      </c>
      <c r="U26" s="12">
        <v>76.52</v>
      </c>
      <c r="V26" s="11">
        <f t="shared" si="2"/>
        <v>11.9</v>
      </c>
      <c r="W26" s="11">
        <f t="shared" si="3"/>
        <v>77.415364068319</v>
      </c>
      <c r="X26" s="25">
        <v>0.02</v>
      </c>
    </row>
    <row r="27" ht="27.25" customHeight="1" spans="1:24">
      <c r="A27" s="9" t="s">
        <v>64</v>
      </c>
      <c r="B27" s="10"/>
      <c r="C27" s="10"/>
      <c r="D27" s="11">
        <v>92.26</v>
      </c>
      <c r="E27" s="11">
        <v>83.42</v>
      </c>
      <c r="F27" s="11">
        <v>87.01</v>
      </c>
      <c r="G27" s="11">
        <v>8.84</v>
      </c>
      <c r="H27" s="11">
        <v>87.62</v>
      </c>
      <c r="I27" s="11">
        <v>93.87</v>
      </c>
      <c r="J27" s="11">
        <v>87.46</v>
      </c>
      <c r="K27" s="11">
        <v>90.18</v>
      </c>
      <c r="L27" s="11">
        <v>6.41</v>
      </c>
      <c r="M27" s="11">
        <v>90.55</v>
      </c>
      <c r="N27" s="11">
        <v>97.3</v>
      </c>
      <c r="O27" s="11">
        <v>95.3</v>
      </c>
      <c r="P27" s="11">
        <v>96.1</v>
      </c>
      <c r="Q27" s="13">
        <f t="shared" si="0"/>
        <v>2</v>
      </c>
      <c r="R27" s="11">
        <f t="shared" si="1"/>
        <v>96.2896157840083</v>
      </c>
      <c r="S27" s="11">
        <v>84.36</v>
      </c>
      <c r="T27" s="11">
        <v>71.85</v>
      </c>
      <c r="U27" s="12">
        <v>76.99</v>
      </c>
      <c r="V27" s="11">
        <f t="shared" si="2"/>
        <v>12.51</v>
      </c>
      <c r="W27" s="11">
        <f t="shared" si="3"/>
        <v>77.6040714422892</v>
      </c>
    </row>
    <row r="28" ht="27.25" customHeight="1" spans="1:24">
      <c r="A28" s="9" t="s">
        <v>65</v>
      </c>
      <c r="B28" s="10"/>
      <c r="C28" s="10"/>
      <c r="D28" s="11">
        <v>92.42</v>
      </c>
      <c r="E28" s="11">
        <v>83.72</v>
      </c>
      <c r="F28" s="11">
        <v>87.12</v>
      </c>
      <c r="G28" s="11">
        <v>8.7</v>
      </c>
      <c r="H28" s="11">
        <v>87.86</v>
      </c>
      <c r="I28" s="11">
        <v>93.77</v>
      </c>
      <c r="J28" s="11">
        <v>87.44</v>
      </c>
      <c r="K28" s="11">
        <v>90.16</v>
      </c>
      <c r="L28" s="11">
        <v>6.33</v>
      </c>
      <c r="M28" s="11">
        <v>90.49</v>
      </c>
      <c r="N28" s="11">
        <v>97.32</v>
      </c>
      <c r="O28" s="11">
        <v>95.25</v>
      </c>
      <c r="P28" s="11">
        <v>96.05</v>
      </c>
      <c r="Q28" s="13">
        <f t="shared" si="0"/>
        <v>2.06999999999999</v>
      </c>
      <c r="R28" s="11">
        <f t="shared" si="1"/>
        <v>96.2738744352703</v>
      </c>
      <c r="S28" s="11">
        <v>83.89</v>
      </c>
      <c r="T28" s="11">
        <v>72.58</v>
      </c>
      <c r="U28" s="12">
        <v>77.11</v>
      </c>
      <c r="V28" s="11">
        <f t="shared" si="2"/>
        <v>11.31</v>
      </c>
      <c r="W28" s="11">
        <f t="shared" si="3"/>
        <v>77.8262440084361</v>
      </c>
    </row>
    <row r="29" ht="27.25" customHeight="1" spans="1:24">
      <c r="A29" s="9" t="s">
        <v>66</v>
      </c>
      <c r="B29" s="10"/>
      <c r="C29" s="10"/>
      <c r="D29" s="11">
        <v>92.34</v>
      </c>
      <c r="E29" s="11">
        <v>83.72</v>
      </c>
      <c r="F29" s="11">
        <v>87.05</v>
      </c>
      <c r="G29" s="11">
        <v>8.62</v>
      </c>
      <c r="H29" s="11">
        <v>87.82</v>
      </c>
      <c r="I29" s="11">
        <v>94.07</v>
      </c>
      <c r="J29" s="11">
        <v>87.36</v>
      </c>
      <c r="K29" s="11">
        <v>90.22</v>
      </c>
      <c r="L29" s="11">
        <v>6.71</v>
      </c>
      <c r="M29" s="11">
        <v>90.59</v>
      </c>
      <c r="N29" s="11">
        <v>97.42</v>
      </c>
      <c r="O29" s="11">
        <v>95.41</v>
      </c>
      <c r="P29" s="11">
        <v>96.23</v>
      </c>
      <c r="Q29" s="13">
        <f t="shared" si="0"/>
        <v>2.01000000000001</v>
      </c>
      <c r="R29" s="11">
        <f t="shared" si="1"/>
        <v>96.4045241922937</v>
      </c>
      <c r="S29" s="11">
        <v>84.32</v>
      </c>
      <c r="T29" s="11">
        <v>72.43</v>
      </c>
      <c r="U29" s="12">
        <v>77.18</v>
      </c>
      <c r="V29" s="11">
        <f t="shared" si="2"/>
        <v>11.89</v>
      </c>
      <c r="W29" s="11">
        <f t="shared" si="3"/>
        <v>77.9240523125997</v>
      </c>
    </row>
    <row r="30" ht="27.25" customHeight="1" spans="1:24">
      <c r="A30" s="9" t="s">
        <v>67</v>
      </c>
      <c r="B30" s="10"/>
      <c r="C30" s="10"/>
      <c r="D30" s="11">
        <v>92.59</v>
      </c>
      <c r="E30" s="11">
        <v>83.29</v>
      </c>
      <c r="F30" s="11">
        <v>86.99</v>
      </c>
      <c r="G30" s="11">
        <v>9.3</v>
      </c>
      <c r="H30" s="11">
        <v>87.69</v>
      </c>
      <c r="I30" s="11">
        <v>94.2</v>
      </c>
      <c r="J30" s="11">
        <v>88.12</v>
      </c>
      <c r="K30" s="11">
        <v>90.56</v>
      </c>
      <c r="L30" s="11">
        <v>6.08</v>
      </c>
      <c r="M30" s="11">
        <v>91.06</v>
      </c>
      <c r="N30" s="11">
        <v>97.37</v>
      </c>
      <c r="O30" s="11">
        <v>95.33</v>
      </c>
      <c r="P30" s="11">
        <v>96.18</v>
      </c>
      <c r="Q30" s="13">
        <f t="shared" si="0"/>
        <v>2.04000000000001</v>
      </c>
      <c r="R30" s="11">
        <f t="shared" si="1"/>
        <v>96.3392018681889</v>
      </c>
      <c r="S30" s="11">
        <v>85.33</v>
      </c>
      <c r="T30" s="11">
        <v>73.07</v>
      </c>
      <c r="U30" s="12">
        <v>78.01</v>
      </c>
      <c r="V30" s="11">
        <f t="shared" si="2"/>
        <v>12.26</v>
      </c>
      <c r="W30" s="11">
        <f t="shared" si="3"/>
        <v>78.7255441919192</v>
      </c>
    </row>
    <row r="31" ht="27.25" customHeight="1" spans="1:24">
      <c r="A31" s="9" t="s">
        <v>68</v>
      </c>
      <c r="B31" s="10"/>
      <c r="C31" s="10"/>
      <c r="D31" s="11">
        <v>92.76</v>
      </c>
      <c r="E31" s="11">
        <v>83.63</v>
      </c>
      <c r="F31" s="11">
        <v>87.21</v>
      </c>
      <c r="G31" s="13"/>
      <c r="H31" s="11">
        <v>87.96</v>
      </c>
      <c r="I31" s="11">
        <v>94.22</v>
      </c>
      <c r="J31" s="11">
        <v>87.59</v>
      </c>
      <c r="K31" s="11">
        <v>90.33</v>
      </c>
      <c r="L31" s="13"/>
      <c r="M31" s="11">
        <v>90.78</v>
      </c>
      <c r="N31" s="11">
        <v>96.78</v>
      </c>
      <c r="O31" s="11">
        <v>93.15</v>
      </c>
      <c r="P31" s="11">
        <v>94.69</v>
      </c>
      <c r="Q31" s="13">
        <f t="shared" si="0"/>
        <v>3.63</v>
      </c>
      <c r="R31" s="11">
        <f t="shared" si="1"/>
        <v>94.9303111672722</v>
      </c>
      <c r="S31" s="11">
        <v>84.96</v>
      </c>
      <c r="T31" s="11">
        <v>69.72</v>
      </c>
      <c r="U31" s="12">
        <v>75.76</v>
      </c>
      <c r="V31" s="11">
        <f t="shared" si="2"/>
        <v>15.24</v>
      </c>
      <c r="W31" s="11">
        <f t="shared" si="3"/>
        <v>76.5892319627618</v>
      </c>
    </row>
    <row r="32" ht="27.25" hidden="1" customHeight="1" spans="1:24">
      <c r="A32" s="9" t="s">
        <v>69</v>
      </c>
      <c r="B32" s="10"/>
      <c r="C32" s="10"/>
      <c r="D32" s="11">
        <v>92.76</v>
      </c>
      <c r="E32" s="11">
        <v>83.63</v>
      </c>
      <c r="F32" s="11">
        <v>87.3</v>
      </c>
      <c r="G32" s="11">
        <v>9.13</v>
      </c>
      <c r="H32" s="13"/>
      <c r="I32" s="11">
        <v>94.18</v>
      </c>
      <c r="J32" s="11">
        <v>87.68</v>
      </c>
      <c r="K32" s="11">
        <v>90.36</v>
      </c>
      <c r="L32" s="11">
        <v>6.5</v>
      </c>
      <c r="M32" s="11">
        <v>90.81</v>
      </c>
      <c r="N32" s="11">
        <v>97.4</v>
      </c>
      <c r="O32" s="11">
        <v>95.23</v>
      </c>
      <c r="P32" s="11">
        <v>96.12</v>
      </c>
      <c r="Q32" s="13">
        <f t="shared" si="0"/>
        <v>2.17</v>
      </c>
      <c r="R32" s="11"/>
      <c r="S32" s="11">
        <v>85.7</v>
      </c>
      <c r="T32" s="11">
        <v>73.08</v>
      </c>
      <c r="U32" s="12">
        <v>78.2</v>
      </c>
      <c r="V32" s="11"/>
      <c r="W32" s="11"/>
    </row>
    <row r="33" ht="27.25" hidden="1" customHeight="1" spans="1:23">
      <c r="A33" s="9" t="s">
        <v>70</v>
      </c>
      <c r="B33" s="10"/>
      <c r="C33" s="10"/>
      <c r="D33" s="11">
        <v>92.93</v>
      </c>
      <c r="E33" s="11">
        <v>83.33</v>
      </c>
      <c r="F33" s="11">
        <v>87.07</v>
      </c>
      <c r="G33" s="13"/>
      <c r="H33" s="13"/>
      <c r="I33" s="11">
        <v>94.08</v>
      </c>
      <c r="J33" s="11">
        <v>87</v>
      </c>
      <c r="K33" s="11">
        <v>90.05</v>
      </c>
      <c r="L33" s="13"/>
      <c r="M33" s="11">
        <v>90.4</v>
      </c>
      <c r="N33" s="11">
        <v>96.88</v>
      </c>
      <c r="O33" s="11">
        <v>93.03</v>
      </c>
      <c r="P33" s="11">
        <v>94.66</v>
      </c>
      <c r="Q33" s="13">
        <f t="shared" si="0"/>
        <v>3.84999999999999</v>
      </c>
      <c r="R33" s="11"/>
      <c r="S33" s="11">
        <v>85.36</v>
      </c>
      <c r="T33" s="11">
        <v>69.93</v>
      </c>
      <c r="U33" s="12">
        <v>76.07</v>
      </c>
      <c r="V33" s="11"/>
      <c r="W33" s="11"/>
    </row>
    <row r="34" ht="27.25" hidden="1" customHeight="1" spans="1:23">
      <c r="A34" s="9" t="s">
        <v>71</v>
      </c>
      <c r="B34" s="10"/>
      <c r="C34" s="10"/>
      <c r="D34" s="11">
        <v>92.34</v>
      </c>
      <c r="E34" s="11">
        <v>83.38</v>
      </c>
      <c r="F34" s="11">
        <v>86.99</v>
      </c>
      <c r="G34" s="11">
        <v>8.96</v>
      </c>
      <c r="H34" s="13"/>
      <c r="I34" s="11">
        <v>94.28</v>
      </c>
      <c r="J34" s="11">
        <v>88.13</v>
      </c>
      <c r="K34" s="11">
        <v>90.79</v>
      </c>
      <c r="L34" s="11">
        <v>6.15</v>
      </c>
      <c r="M34" s="11">
        <v>91.1</v>
      </c>
      <c r="N34" s="11">
        <v>97.25</v>
      </c>
      <c r="O34" s="11">
        <v>95.15</v>
      </c>
      <c r="P34" s="11">
        <v>95.93</v>
      </c>
      <c r="Q34" s="13">
        <f t="shared" si="0"/>
        <v>2.09999999999999</v>
      </c>
      <c r="R34" s="11"/>
      <c r="S34" s="11">
        <v>85.53</v>
      </c>
      <c r="T34" s="11">
        <v>73.3</v>
      </c>
      <c r="U34" s="12">
        <v>78.38</v>
      </c>
      <c r="V34" s="11"/>
      <c r="W34" s="11"/>
    </row>
    <row r="35" ht="27.25" hidden="1" customHeight="1" spans="1:23">
      <c r="A35" s="9" t="s">
        <v>72</v>
      </c>
      <c r="B35" s="27"/>
      <c r="C35" s="27"/>
      <c r="D35" s="28">
        <v>92.93</v>
      </c>
      <c r="E35" s="28">
        <v>83.38</v>
      </c>
      <c r="F35" s="28">
        <v>87.24</v>
      </c>
      <c r="G35" s="29"/>
      <c r="H35" s="29"/>
      <c r="I35" s="28">
        <v>94.33</v>
      </c>
      <c r="J35" s="28">
        <v>87.37</v>
      </c>
      <c r="K35" s="28">
        <v>90.31</v>
      </c>
      <c r="L35" s="29"/>
      <c r="M35" s="11">
        <v>90.72</v>
      </c>
      <c r="N35" s="28">
        <v>96.62</v>
      </c>
      <c r="O35" s="28">
        <v>93.05</v>
      </c>
      <c r="P35" s="28">
        <v>94.56</v>
      </c>
      <c r="Q35" s="13">
        <f t="shared" si="0"/>
        <v>3.57000000000001</v>
      </c>
      <c r="R35" s="11"/>
      <c r="S35" s="28">
        <v>85.09</v>
      </c>
      <c r="T35" s="28">
        <v>70.22</v>
      </c>
      <c r="U35" s="30">
        <v>76.14</v>
      </c>
      <c r="V35" s="11"/>
      <c r="W35" s="11"/>
    </row>
    <row r="36" ht="27.25" customHeight="1" spans="1:23">
      <c r="A36" s="31" t="s">
        <v>33</v>
      </c>
      <c r="B36" s="32"/>
      <c r="C36" s="32"/>
      <c r="D36" s="33">
        <v>1.35</v>
      </c>
      <c r="E36" s="33">
        <v>0.68</v>
      </c>
      <c r="F36" s="33">
        <v>3.53</v>
      </c>
      <c r="G36" s="34"/>
      <c r="H36" s="34"/>
      <c r="I36" s="33">
        <v>0.52</v>
      </c>
      <c r="J36" s="33">
        <v>0.95</v>
      </c>
      <c r="K36" s="33">
        <v>1.59</v>
      </c>
      <c r="L36" s="34"/>
      <c r="M36" s="11">
        <v>0.67</v>
      </c>
      <c r="N36" s="33">
        <v>0.08</v>
      </c>
      <c r="O36" s="33">
        <v>1.31</v>
      </c>
      <c r="P36" s="33">
        <v>0.96</v>
      </c>
      <c r="Q36" s="13"/>
      <c r="R36" s="11"/>
      <c r="S36" s="33">
        <v>1.04</v>
      </c>
      <c r="T36" s="33">
        <v>0.6</v>
      </c>
      <c r="U36" s="35">
        <v>1.83</v>
      </c>
      <c r="V36" s="11"/>
      <c r="W36" s="11"/>
    </row>
  </sheetData>
  <autoFilter xmlns:etc="http://www.wps.cn/officeDocument/2017/etCustomData" ref="A1:W36" etc:filterBottomFollowUsedRange="0">
    <extLst/>
  </autoFilter>
  <mergeCells count="5">
    <mergeCell ref="D1:H1"/>
    <mergeCell ref="I1:M1"/>
    <mergeCell ref="N1:R1"/>
    <mergeCell ref="S1:W1"/>
    <mergeCell ref="Y2:Y13"/>
  </mergeCells>
  <conditionalFormatting sqref="D3:D13">
    <cfRule type="top10" dxfId="6" priority="156" rank="1"/>
    <cfRule type="top10" dxfId="5" priority="113" rank="1"/>
    <cfRule type="top10" dxfId="4" priority="112" rank="1"/>
    <cfRule type="top10" dxfId="3" priority="96" rank="1"/>
    <cfRule type="top10" dxfId="2" priority="95" rank="1"/>
    <cfRule type="top10" dxfId="1" priority="94" rank="1"/>
  </conditionalFormatting>
  <conditionalFormatting sqref="D16:D35">
    <cfRule type="top10" dxfId="0" priority="144" rank="3"/>
    <cfRule type="top10" dxfId="4" priority="168" rank="1"/>
  </conditionalFormatting>
  <conditionalFormatting sqref="E3:E13">
    <cfRule type="top10" dxfId="6" priority="93" rank="1"/>
    <cfRule type="top10" dxfId="5" priority="92" rank="1"/>
    <cfRule type="top10" dxfId="4" priority="91" rank="1"/>
    <cfRule type="top10" dxfId="3" priority="90" rank="1"/>
    <cfRule type="top10" dxfId="2" priority="89" rank="1"/>
    <cfRule type="top10" dxfId="1" priority="88" rank="1"/>
  </conditionalFormatting>
  <conditionalFormatting sqref="E16:E35">
    <cfRule type="top10" dxfId="0" priority="142" rank="3"/>
    <cfRule type="top10" dxfId="4" priority="143" rank="1"/>
  </conditionalFormatting>
  <conditionalFormatting sqref="F3:F13">
    <cfRule type="top10" dxfId="6" priority="87" rank="1"/>
    <cfRule type="top10" dxfId="5" priority="86" rank="1"/>
    <cfRule type="top10" dxfId="4" priority="85" rank="1"/>
    <cfRule type="top10" dxfId="3" priority="84" rank="1"/>
    <cfRule type="top10" dxfId="2" priority="83" rank="1"/>
    <cfRule type="top10" dxfId="1" priority="82" rank="1"/>
  </conditionalFormatting>
  <conditionalFormatting sqref="G3:G13">
    <cfRule type="top10" dxfId="7" priority="23" bottom="1" rank="1"/>
  </conditionalFormatting>
  <conditionalFormatting sqref="I3:I13">
    <cfRule type="top10" dxfId="1" priority="76" rank="1"/>
    <cfRule type="top10" dxfId="2" priority="77" rank="1"/>
    <cfRule type="top10" dxfId="3" priority="78" rank="1"/>
    <cfRule type="top10" dxfId="4" priority="79" rank="1"/>
    <cfRule type="top10" dxfId="5" priority="80" rank="1"/>
    <cfRule type="top10" dxfId="6" priority="81" rank="1"/>
  </conditionalFormatting>
  <conditionalFormatting sqref="I16:I35">
    <cfRule type="top10" dxfId="0" priority="138" rank="3"/>
    <cfRule type="top10" dxfId="4" priority="139" rank="1"/>
  </conditionalFormatting>
  <conditionalFormatting sqref="J3:J13">
    <cfRule type="top10" dxfId="1" priority="70" rank="1"/>
    <cfRule type="top10" dxfId="2" priority="71" rank="1"/>
    <cfRule type="top10" dxfId="3" priority="72" rank="1"/>
    <cfRule type="top10" dxfId="4" priority="73" rank="1"/>
    <cfRule type="top10" dxfId="5" priority="74" rank="1"/>
    <cfRule type="top10" dxfId="6" priority="75" rank="1"/>
  </conditionalFormatting>
  <conditionalFormatting sqref="J16:J35">
    <cfRule type="top10" dxfId="0" priority="136" rank="3"/>
    <cfRule type="top10" dxfId="4" priority="137" rank="1"/>
  </conditionalFormatting>
  <conditionalFormatting sqref="K3:K13">
    <cfRule type="top10" dxfId="1" priority="64" rank="1"/>
    <cfRule type="top10" dxfId="2" priority="65" rank="1"/>
    <cfRule type="top10" dxfId="3" priority="66" rank="1"/>
    <cfRule type="top10" dxfId="4" priority="67" rank="1"/>
    <cfRule type="top10" dxfId="5" priority="68" rank="1"/>
    <cfRule type="top10" dxfId="6" priority="69" rank="1"/>
  </conditionalFormatting>
  <conditionalFormatting sqref="L3:L13">
    <cfRule type="top10" dxfId="6" priority="18" rank="1"/>
    <cfRule type="top10" dxfId="7" priority="17" bottom="1" rank="1"/>
  </conditionalFormatting>
  <conditionalFormatting sqref="N3:N13">
    <cfRule type="top10" dxfId="1" priority="58" rank="1"/>
    <cfRule type="top10" dxfId="2" priority="59" rank="1"/>
    <cfRule type="top10" dxfId="3" priority="60" rank="1"/>
    <cfRule type="top10" dxfId="4" priority="61" rank="1"/>
    <cfRule type="top10" dxfId="5" priority="62" rank="1"/>
    <cfRule type="top10" dxfId="6" priority="63" rank="1"/>
  </conditionalFormatting>
  <conditionalFormatting sqref="N16:N35">
    <cfRule type="top10" dxfId="0" priority="132" rank="3"/>
    <cfRule type="top10" dxfId="4" priority="133" rank="1"/>
  </conditionalFormatting>
  <conditionalFormatting sqref="O3:O13">
    <cfRule type="top10" dxfId="1" priority="52" rank="1"/>
    <cfRule type="top10" dxfId="2" priority="53" rank="1"/>
    <cfRule type="top10" dxfId="3" priority="54" rank="1"/>
    <cfRule type="top10" dxfId="4" priority="55" rank="1"/>
    <cfRule type="top10" dxfId="5" priority="56" rank="1"/>
    <cfRule type="top10" dxfId="6" priority="57" rank="1"/>
  </conditionalFormatting>
  <conditionalFormatting sqref="O16:O35">
    <cfRule type="top10" dxfId="0" priority="130" rank="3"/>
    <cfRule type="top10" dxfId="4" priority="131" rank="1"/>
  </conditionalFormatting>
  <conditionalFormatting sqref="P3:P13">
    <cfRule type="top10" dxfId="1" priority="46" rank="1"/>
    <cfRule type="top10" dxfId="2" priority="47" rank="1"/>
    <cfRule type="top10" dxfId="3" priority="48" rank="1"/>
    <cfRule type="top10" dxfId="4" priority="49" rank="1"/>
    <cfRule type="top10" dxfId="5" priority="50" rank="1"/>
    <cfRule type="top10" dxfId="6" priority="51" rank="1"/>
  </conditionalFormatting>
  <conditionalFormatting sqref="P16:P35">
    <cfRule type="top10" dxfId="0" priority="128" rank="3"/>
    <cfRule type="top10" dxfId="4" priority="129" rank="1"/>
  </conditionalFormatting>
  <conditionalFormatting sqref="Q3:Q13">
    <cfRule type="top10" dxfId="7" priority="10" bottom="1" rank="1"/>
  </conditionalFormatting>
  <conditionalFormatting sqref="Q14:Q36">
    <cfRule type="top10" dxfId="6" priority="148" rank="1"/>
  </conditionalFormatting>
  <conditionalFormatting sqref="S3:S13">
    <cfRule type="top10" dxfId="1" priority="40" rank="1"/>
    <cfRule type="top10" dxfId="2" priority="41" rank="1"/>
    <cfRule type="top10" dxfId="3" priority="42" rank="1"/>
    <cfRule type="top10" dxfId="4" priority="43" rank="1"/>
    <cfRule type="top10" dxfId="5" priority="44" rank="1"/>
    <cfRule type="top10" dxfId="6" priority="45" rank="1"/>
  </conditionalFormatting>
  <conditionalFormatting sqref="S16:S35">
    <cfRule type="top10" dxfId="0" priority="126" rank="3"/>
    <cfRule type="top10" dxfId="4" priority="127" rank="1"/>
  </conditionalFormatting>
  <conditionalFormatting sqref="T3:T13">
    <cfRule type="top10" dxfId="1" priority="34" rank="1"/>
    <cfRule type="top10" dxfId="2" priority="35" rank="1"/>
    <cfRule type="top10" dxfId="3" priority="36" rank="1"/>
    <cfRule type="top10" dxfId="4" priority="37" rank="1"/>
    <cfRule type="top10" dxfId="5" priority="38" rank="1"/>
    <cfRule type="top10" dxfId="6" priority="39" rank="1"/>
  </conditionalFormatting>
  <conditionalFormatting sqref="T16:T35">
    <cfRule type="top10" dxfId="0" priority="124" rank="3"/>
    <cfRule type="top10" dxfId="4" priority="125" rank="1"/>
  </conditionalFormatting>
  <conditionalFormatting sqref="U3:U13">
    <cfRule type="top10" dxfId="1" priority="28" rank="1"/>
    <cfRule type="top10" dxfId="2" priority="29" rank="1"/>
    <cfRule type="top10" dxfId="3" priority="30" rank="1"/>
    <cfRule type="top10" dxfId="4" priority="31" rank="1"/>
    <cfRule type="top10" dxfId="5" priority="32" rank="1"/>
    <cfRule type="top10" dxfId="6" priority="33" rank="1"/>
  </conditionalFormatting>
  <conditionalFormatting sqref="U16:U35">
    <cfRule type="top10" dxfId="0" priority="122" rank="3"/>
    <cfRule type="top10" dxfId="4" priority="123" rank="1"/>
  </conditionalFormatting>
  <conditionalFormatting sqref="V3:V13">
    <cfRule type="top10" dxfId="7" priority="9" bottom="1" rank="1"/>
  </conditionalFormatting>
  <conditionalFormatting sqref="V14:V36">
    <cfRule type="top10" dxfId="6" priority="27" rank="1"/>
  </conditionalFormatting>
  <conditionalFormatting sqref="W14:W36">
    <cfRule type="top10" dxfId="6" priority="26" rank="1"/>
  </conditionalFormatting>
  <conditionalFormatting sqref="G3:G13 G14:H16 G34:H34 G18:H18 G20:H20 G22:H22 G24:H24 G26:H30 G32:H32 H17 H19 H21 H23 H25 H31">
    <cfRule type="top10" dxfId="6" priority="154" rank="1"/>
  </conditionalFormatting>
  <conditionalFormatting sqref="H3:H4 H6 H8 H10 H12 H5 H7 H9 H11 H13">
    <cfRule type="top10" dxfId="6" priority="8" rank="1"/>
  </conditionalFormatting>
  <conditionalFormatting sqref="M3:M4 M6 M8 M10 M12 M5 M7 M9 M11 M13">
    <cfRule type="top10" dxfId="6" priority="7" rank="1"/>
  </conditionalFormatting>
  <conditionalFormatting sqref="R3:R4 R6 R8 R10 R12 R5 R7 R9 R11 R13">
    <cfRule type="top10" dxfId="6" priority="5" rank="1"/>
  </conditionalFormatting>
  <conditionalFormatting sqref="W3:W4 W6 W8 W10 W12 W5 W7 W9 W11 W13">
    <cfRule type="top10" dxfId="6" priority="1" rank="1"/>
  </conditionalFormatting>
  <conditionalFormatting sqref="L14:M14 L15:L16 L32:M32 L26:L30 L24 L22 L20 L18 L34:M34 M33 M35:M36">
    <cfRule type="top10" dxfId="6" priority="151" rank="1"/>
  </conditionalFormatting>
  <conditionalFormatting sqref="R14 R32:R36">
    <cfRule type="top10" dxfId="6" priority="24" rank="1"/>
  </conditionalFormatting>
  <conditionalFormatting sqref="M15:M16 M18 M20 M22 M24 M26:M30 M17 M19 M21 M23 M25 M31">
    <cfRule type="top10" dxfId="6" priority="3" rank="1"/>
  </conditionalFormatting>
  <conditionalFormatting sqref="R15:R16 R18 R20 R22 R24 R26:R30 R17 R19 R21 R23 R25 R31">
    <cfRule type="top10" dxfId="6" priority="2" rank="1"/>
  </conditionalFormatting>
  <conditionalFormatting sqref="F16 F17:G17 F18 F19:G19 F20 F21:G21 F22 F23:G23 F24 F25:G25 F26:F30 F31:G31 F32 F33:H33 F34 F35:H35">
    <cfRule type="top10" dxfId="0" priority="140" rank="3"/>
    <cfRule type="top10" dxfId="4" priority="141" rank="1"/>
  </conditionalFormatting>
  <conditionalFormatting sqref="K16 K35:L35 K34 K33:L33 K32 K31:L31 K26:K30 K25:L25 K24 K23:L23 K22 K21:L21 K20 K19:L19 K18 K17:L17">
    <cfRule type="top10" dxfId="0" priority="134" rank="3"/>
    <cfRule type="top10" dxfId="4" priority="135" rank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IN1K-NoShuffle1993</vt:lpstr>
      <vt:lpstr>IN1K-Shuffle1993</vt:lpstr>
      <vt:lpstr>IN1K-Shuffle2025</vt:lpstr>
      <vt:lpstr>IN1K-Shuffle42</vt:lpstr>
      <vt:lpstr>time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牛马</dc:creator>
  <cp:lastModifiedBy>DELL</cp:lastModifiedBy>
  <dcterms:created xsi:type="dcterms:W3CDTF">2025-07-18T13:18:00Z</dcterms:created>
  <dcterms:modified xsi:type="dcterms:W3CDTF">2026-07-12T13:30:45Z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7148AE41FAE141568E2C9A6C5D2E174A_13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