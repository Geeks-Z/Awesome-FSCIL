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activeTab="3" autoFilterDateGrouping="1" firstSheet="0" minimized="0" showHorizontalScroll="1" showSheetTabs="1" showVerticalScroll="1" tabRatio="600" visibility="visible" windowHeight="14725"/>
  </bookViews>
  <sheets>
    <sheet xmlns:r="http://schemas.openxmlformats.org/officeDocument/2006/relationships" name="IN1K-NoShuffle1993" sheetId="1" state="visible" r:id="rId1"/>
    <sheet xmlns:r="http://schemas.openxmlformats.org/officeDocument/2006/relationships" name="IN1K-Shuffle1993" sheetId="2" state="visible" r:id="rId2"/>
    <sheet xmlns:r="http://schemas.openxmlformats.org/officeDocument/2006/relationships" name="IN1K-Shuffle2025" sheetId="3" state="visible" r:id="rId3"/>
    <sheet xmlns:r="http://schemas.openxmlformats.org/officeDocument/2006/relationships" name="IN1K-Shuffle42" sheetId="4" state="visible" r:id="rId4"/>
    <sheet xmlns:r="http://schemas.openxmlformats.org/officeDocument/2006/relationships" name="time" sheetId="5" state="visible" r:id="rId5"/>
    <sheet xmlns:r="http://schemas.openxmlformats.org/officeDocument/2006/relationships" name="Sheet1" sheetId="6" state="visible" r:id="rId6"/>
  </sheets>
  <definedNames>
    <definedName hidden="1" localSheetId="1" name="_xlnm._FilterDatabase">'IN1K-Shuffle1993'!$A$1:$P$15</definedName>
    <definedName hidden="1" localSheetId="2" name="_xlnm._FilterDatabase">'IN1K-Shuffle2025'!$A$1:$P$16</definedName>
    <definedName hidden="1" localSheetId="3" name="_xlnm._FilterDatabase">'IN1K-Shuffle42'!$A$1:$P$16</definedName>
    <definedName hidden="1" localSheetId="5" name="_xlnm._FilterDatabase">Sheet1!$A$1:$W$36</definedName>
    <definedName hidden="1" localSheetId="1" name="_xlnm._FilterDatabase">'IN1K-Shuffle1993'!$A$1:$P$15</definedName>
    <definedName hidden="1" localSheetId="2" name="_xlnm._FilterDatabase">'IN1K-Shuffle2025'!$A$1:$P$16</definedName>
    <definedName hidden="1" localSheetId="3" name="_xlnm._FilterDatabase">'IN1K-Shuffle42'!$A$1:$P$16</definedName>
    <definedName hidden="1" localSheetId="5" name="_xlnm._FilterDatabase">Sheet1!$A$1:$W$36</definedName>
  </definedNames>
  <calcPr calcId="191029" fullCalcOnLoad="1"/>
</workbook>
</file>

<file path=xl/sharedStrings.xml><?xml version="1.0" encoding="utf-8"?>
<sst xmlns="http://schemas.openxmlformats.org/spreadsheetml/2006/main" uniqueCount="74">
  <si>
    <t>Method</t>
  </si>
  <si>
    <t>Venue</t>
  </si>
  <si>
    <t>Year</t>
  </si>
  <si>
    <t>CUB200 (T=11)</t>
  </si>
  <si>
    <t>CIFAR100 (T=9)</t>
  </si>
  <si>
    <t>Imagenet-R (T=11)</t>
  </si>
  <si>
    <t>minilmageNet (T=9)</t>
  </si>
  <si>
    <t>Base</t>
  </si>
  <si>
    <t>Last</t>
  </si>
  <si>
    <t>Avg</t>
  </si>
  <si>
    <t>PD</t>
  </si>
  <si>
    <t>BWT</t>
  </si>
  <si>
    <t>FWT</t>
  </si>
  <si>
    <t>Full Finetune</t>
  </si>
  <si>
    <t>SimpleFSCIL</t>
  </si>
  <si>
    <t>L2P</t>
  </si>
  <si>
    <t>CVPR</t>
  </si>
  <si>
    <t>CODA-Prompt</t>
  </si>
  <si>
    <t>LAE</t>
  </si>
  <si>
    <t>ICCV</t>
  </si>
  <si>
    <t>InfLoRA</t>
  </si>
  <si>
    <t>SD-LoRA</t>
  </si>
  <si>
    <t>ICLR</t>
  </si>
  <si>
    <t>ASP</t>
  </si>
  <si>
    <t>ECCV</t>
  </si>
  <si>
    <t>SEC-Prompt</t>
  </si>
  <si>
    <t>TALON-MLP</t>
  </si>
  <si>
    <t>TALON-QV</t>
  </si>
  <si>
    <t>T0-KD</t>
  </si>
  <si>
    <t>Uniform-KD</t>
  </si>
  <si>
    <t>RCARD</t>
  </si>
  <si>
    <t>BC-FSCIL</t>
  </si>
  <si>
    <t>SMP</t>
  </si>
  <si>
    <t>PriViLege</t>
  </si>
  <si>
    <t>涨点</t>
  </si>
  <si>
    <t>CPE-CLIP</t>
  </si>
  <si>
    <t>CUB</t>
  </si>
  <si>
    <t>CIFAR</t>
  </si>
  <si>
    <t>MINI</t>
  </si>
  <si>
    <t>INR</t>
  </si>
  <si>
    <t>Train</t>
  </si>
  <si>
    <t>Epochs</t>
  </si>
  <si>
    <t>Inference</t>
  </si>
  <si>
    <t>Tasks</t>
  </si>
  <si>
    <t>Module</t>
  </si>
  <si>
    <t>Images</t>
  </si>
  <si>
    <t>CUB200 B100Inc10</t>
  </si>
  <si>
    <t>CIFAR-100 B60Inc5</t>
  </si>
  <si>
    <t>minilmageNet B60Inc5</t>
  </si>
  <si>
    <t>Imagenet-R B100Inc10</t>
  </si>
  <si>
    <t>HAcc</t>
  </si>
  <si>
    <t>21K</t>
  </si>
  <si>
    <t>Seq-Finetune</t>
  </si>
  <si>
    <t>PTM-Base</t>
  </si>
  <si>
    <t>MLP-Rank2-IN1K</t>
  </si>
  <si>
    <t>MLP-Rank2-IN21K</t>
  </si>
  <si>
    <t>MLP-Rank4-IN1K</t>
  </si>
  <si>
    <t>MLP-Rank4-IN21K</t>
  </si>
  <si>
    <t>MLP-Rank8-IN1K</t>
  </si>
  <si>
    <t>MLP-Rank8-IN21K</t>
  </si>
  <si>
    <t>MLP-Rank10-IN1K</t>
  </si>
  <si>
    <t>MLP-Rank10-IN21K</t>
  </si>
  <si>
    <t>MLP-Rank16-IN1K</t>
  </si>
  <si>
    <t>MLP-Rank16-IN21K</t>
  </si>
  <si>
    <t>QV-Rank2-IN1K</t>
  </si>
  <si>
    <t>QV-Rank2-IN1K-lr002</t>
  </si>
  <si>
    <t>QV-Rank4-IN1K</t>
  </si>
  <si>
    <t>QV-Rank4-IN1K-lr002</t>
  </si>
  <si>
    <t>QV-Rank8-IN1K-lr002</t>
  </si>
  <si>
    <t>QV-Rank8-IN21K</t>
  </si>
  <si>
    <t>QV-Rank10-IN1K-lr002</t>
  </si>
  <si>
    <t>QV-Rank10-IN21K-lr002</t>
  </si>
  <si>
    <t>QV-Rank16-IN1K</t>
  </si>
  <si>
    <t>QV-Rank16-IN21K</t>
  </si>
</sst>
</file>

<file path=xl/styles.xml><?xml version="1.0" encoding="utf-8"?>
<styleSheet xmlns="http://schemas.openxmlformats.org/spreadsheetml/2006/main">
  <numFmts count="5">
    <numFmt formatCode="0.0_ " numFmtId="164"/>
    <numFmt formatCode="_ * #,##0.00_ ;_ * \-#,##0.00_ ;_ * &quot;-&quot;??_ ;_ @_ " numFmtId="165"/>
    <numFmt formatCode="_ &quot;￥&quot;* #,##0.00_ ;_ &quot;￥&quot;* \-#,##0.00_ ;_ &quot;￥&quot;* &quot;-&quot;??_ ;_ @_ " numFmtId="166"/>
    <numFmt formatCode="_ * #,##0_ ;_ * \-#,##0_ ;_ * &quot;-&quot;_ ;_ @_ " numFmtId="167"/>
    <numFmt formatCode="_ &quot;￥&quot;* #,##0_ ;_ &quot;￥&quot;* \-#,##0_ ;_ &quot;￥&quot;* &quot;-&quot;_ ;_ @_ " numFmtId="168"/>
  </numFmts>
  <fonts count="31">
    <font>
      <name val="宋体"/>
      <charset val="134"/>
      <color theme="1"/>
      <sz val="11"/>
      <scheme val="minor"/>
    </font>
    <font>
      <name val="微软雅黑"/>
      <charset val="134"/>
      <b val="1"/>
      <color rgb="FF262626"/>
      <sz val="14"/>
    </font>
    <font>
      <name val="微软雅黑"/>
      <charset val="134"/>
      <color theme="1"/>
      <sz val="16"/>
    </font>
    <font>
      <name val="微软雅黑"/>
      <charset val="134"/>
      <color theme="1"/>
      <sz val="14"/>
    </font>
    <font>
      <name val="宋体"/>
      <charset val="134"/>
      <b val="1"/>
      <color rgb="FFFF0000"/>
      <sz val="18"/>
      <scheme val="minor"/>
    </font>
    <font>
      <name val="微软雅黑"/>
      <charset val="134"/>
      <color rgb="FF262626"/>
      <sz val="16"/>
    </font>
    <font>
      <name val="微软雅黑"/>
      <charset val="134"/>
      <color rgb="FF000000"/>
      <sz val="14"/>
    </font>
    <font>
      <name val="微软雅黑"/>
      <charset val="134"/>
      <b val="1"/>
      <color rgb="FFFF0000"/>
      <sz val="18"/>
    </font>
    <font>
      <name val="宋体"/>
      <charset val="134"/>
      <color theme="1"/>
      <sz val="16"/>
      <scheme val="minor"/>
    </font>
    <font>
      <name val="宋体"/>
      <charset val="134"/>
      <b val="1"/>
      <color rgb="FFFF0000"/>
      <sz val="16"/>
      <scheme val="minor"/>
    </font>
    <font>
      <name val="宋体"/>
      <charset val="134"/>
      <b val="1"/>
      <color theme="1"/>
      <sz val="16"/>
      <scheme val="minor"/>
    </font>
    <font>
      <name val="微软雅黑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 style="medium">
        <color rgb="FFD9D9D9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applyAlignment="1" borderId="0" fillId="0" fontId="0" numFmtId="0">
      <alignment vertical="center"/>
    </xf>
    <xf applyAlignment="1" borderId="0" fillId="0" fontId="0" numFmtId="165">
      <alignment vertical="center"/>
    </xf>
    <xf applyAlignment="1" borderId="0" fillId="0" fontId="0" numFmtId="166">
      <alignment vertical="center"/>
    </xf>
    <xf applyAlignment="1" borderId="0" fillId="0" fontId="0" numFmtId="0">
      <alignment vertical="center"/>
    </xf>
    <xf applyAlignment="1" borderId="0" fillId="0" fontId="0" numFmtId="167">
      <alignment vertical="center"/>
    </xf>
    <xf applyAlignment="1" borderId="0" fillId="0" fontId="0" numFmtId="168">
      <alignment vertical="center"/>
    </xf>
    <xf applyAlignment="1" borderId="0" fillId="0" fontId="12" numFmtId="0">
      <alignment vertical="center"/>
    </xf>
    <xf applyAlignment="1" borderId="0" fillId="0" fontId="13" numFmtId="0">
      <alignment vertical="center"/>
    </xf>
    <xf applyAlignment="1" borderId="17" fillId="3" fontId="0" numFmtId="0">
      <alignment vertical="center"/>
    </xf>
    <xf applyAlignment="1" borderId="0" fillId="0" fontId="14" numFmtId="0">
      <alignment vertical="center"/>
    </xf>
    <xf applyAlignment="1" borderId="0" fillId="0" fontId="15" numFmtId="0">
      <alignment vertical="center"/>
    </xf>
    <xf applyAlignment="1" borderId="0" fillId="0" fontId="16" numFmtId="0">
      <alignment vertical="center"/>
    </xf>
    <xf applyAlignment="1" borderId="18" fillId="0" fontId="17" numFmtId="0">
      <alignment vertical="center"/>
    </xf>
    <xf applyAlignment="1" borderId="18" fillId="0" fontId="18" numFmtId="0">
      <alignment vertical="center"/>
    </xf>
    <xf applyAlignment="1" borderId="19" fillId="0" fontId="19" numFmtId="0">
      <alignment vertical="center"/>
    </xf>
    <xf applyAlignment="1" borderId="0" fillId="0" fontId="19" numFmtId="0">
      <alignment vertical="center"/>
    </xf>
    <xf applyAlignment="1" borderId="20" fillId="4" fontId="20" numFmtId="0">
      <alignment vertical="center"/>
    </xf>
    <xf applyAlignment="1" borderId="21" fillId="5" fontId="21" numFmtId="0">
      <alignment vertical="center"/>
    </xf>
    <xf applyAlignment="1" borderId="20" fillId="5" fontId="22" numFmtId="0">
      <alignment vertical="center"/>
    </xf>
    <xf applyAlignment="1" borderId="22" fillId="6" fontId="23" numFmtId="0">
      <alignment vertical="center"/>
    </xf>
    <xf applyAlignment="1" borderId="23" fillId="0" fontId="24" numFmtId="0">
      <alignment vertical="center"/>
    </xf>
    <xf applyAlignment="1" borderId="24" fillId="0" fontId="25" numFmtId="0">
      <alignment vertical="center"/>
    </xf>
    <xf applyAlignment="1" borderId="0" fillId="7" fontId="26" numFmtId="0">
      <alignment vertical="center"/>
    </xf>
    <xf applyAlignment="1" borderId="0" fillId="8" fontId="27" numFmtId="0">
      <alignment vertical="center"/>
    </xf>
    <xf applyAlignment="1" borderId="0" fillId="9" fontId="28" numFmtId="0">
      <alignment vertical="center"/>
    </xf>
    <xf applyAlignment="1" borderId="0" fillId="10" fontId="29" numFmtId="0">
      <alignment vertical="center"/>
    </xf>
    <xf applyAlignment="1" borderId="0" fillId="11" fontId="30" numFmtId="0">
      <alignment vertical="center"/>
    </xf>
    <xf applyAlignment="1" borderId="0" fillId="12" fontId="30" numFmtId="0">
      <alignment vertical="center"/>
    </xf>
    <xf applyAlignment="1" borderId="0" fillId="13" fontId="29" numFmtId="0">
      <alignment vertical="center"/>
    </xf>
    <xf applyAlignment="1" borderId="0" fillId="14" fontId="29" numFmtId="0">
      <alignment vertical="center"/>
    </xf>
    <xf applyAlignment="1" borderId="0" fillId="15" fontId="30" numFmtId="0">
      <alignment vertical="center"/>
    </xf>
    <xf applyAlignment="1" borderId="0" fillId="16" fontId="30" numFmtId="0">
      <alignment vertical="center"/>
    </xf>
    <xf applyAlignment="1" borderId="0" fillId="17" fontId="29" numFmtId="0">
      <alignment vertical="center"/>
    </xf>
    <xf applyAlignment="1" borderId="0" fillId="18" fontId="29" numFmtId="0">
      <alignment vertical="center"/>
    </xf>
    <xf applyAlignment="1" borderId="0" fillId="19" fontId="30" numFmtId="0">
      <alignment vertical="center"/>
    </xf>
    <xf applyAlignment="1" borderId="0" fillId="20" fontId="30" numFmtId="0">
      <alignment vertical="center"/>
    </xf>
    <xf applyAlignment="1" borderId="0" fillId="21" fontId="29" numFmtId="0">
      <alignment vertical="center"/>
    </xf>
    <xf applyAlignment="1" borderId="0" fillId="22" fontId="29" numFmtId="0">
      <alignment vertical="center"/>
    </xf>
    <xf applyAlignment="1" borderId="0" fillId="23" fontId="30" numFmtId="0">
      <alignment vertical="center"/>
    </xf>
    <xf applyAlignment="1" borderId="0" fillId="24" fontId="30" numFmtId="0">
      <alignment vertical="center"/>
    </xf>
    <xf applyAlignment="1" borderId="0" fillId="25" fontId="29" numFmtId="0">
      <alignment vertical="center"/>
    </xf>
    <xf applyAlignment="1" borderId="0" fillId="26" fontId="29" numFmtId="0">
      <alignment vertical="center"/>
    </xf>
    <xf applyAlignment="1" borderId="0" fillId="27" fontId="30" numFmtId="0">
      <alignment vertical="center"/>
    </xf>
    <xf applyAlignment="1" borderId="0" fillId="28" fontId="30" numFmtId="0">
      <alignment vertical="center"/>
    </xf>
    <xf applyAlignment="1" borderId="0" fillId="29" fontId="29" numFmtId="0">
      <alignment vertical="center"/>
    </xf>
    <xf applyAlignment="1" borderId="0" fillId="30" fontId="29" numFmtId="0">
      <alignment vertical="center"/>
    </xf>
    <xf applyAlignment="1" borderId="0" fillId="31" fontId="30" numFmtId="0">
      <alignment vertical="center"/>
    </xf>
    <xf applyAlignment="1" borderId="0" fillId="32" fontId="30" numFmtId="0">
      <alignment vertical="center"/>
    </xf>
    <xf applyAlignment="1" borderId="0" fillId="33" fontId="29" numFmtId="0">
      <alignment vertical="center"/>
    </xf>
  </cellStyleXfs>
  <cellXfs count="70">
    <xf applyAlignment="1" borderId="0" fillId="0" fontId="0" numFmtId="0" pivotButton="0" quotePrefix="0" xfId="0">
      <alignment vertical="center"/>
    </xf>
    <xf applyAlignment="1" borderId="1" fillId="2" fontId="1" numFmtId="0" pivotButton="0" quotePrefix="0" xfId="0">
      <alignment horizontal="center" vertical="center" wrapText="1"/>
    </xf>
    <xf applyAlignment="1" borderId="2" fillId="2" fontId="1" numFmtId="0" pivotButton="0" quotePrefix="0" xfId="0">
      <alignment horizontal="center" vertical="center" wrapText="1"/>
    </xf>
    <xf applyAlignment="1" borderId="3" fillId="2" fontId="1" numFmtId="0" pivotButton="0" quotePrefix="0" xfId="0">
      <alignment horizontal="center" vertical="center" wrapText="1"/>
    </xf>
    <xf applyAlignment="1" borderId="4" fillId="2" fontId="1" numFmtId="0" pivotButton="0" quotePrefix="0" xfId="0">
      <alignment horizontal="center" vertical="center" wrapText="1"/>
    </xf>
    <xf applyAlignment="1" borderId="1" fillId="2" fontId="1" numFmtId="0" pivotButton="0" quotePrefix="0" xfId="0">
      <alignment vertical="center" wrapText="1"/>
    </xf>
    <xf applyAlignment="1" borderId="5" fillId="2" fontId="2" numFmtId="0" pivotButton="0" quotePrefix="0" xfId="0">
      <alignment horizontal="center" vertical="center"/>
    </xf>
    <xf applyAlignment="1" borderId="5" fillId="0" fontId="3" numFmtId="0" pivotButton="0" quotePrefix="0" xfId="0">
      <alignment horizontal="center" vertical="center"/>
    </xf>
    <xf applyAlignment="1" borderId="0" fillId="0" fontId="4" numFmtId="0" pivotButton="0" quotePrefix="0" xfId="0">
      <alignment horizontal="center" vertical="center"/>
    </xf>
    <xf applyAlignment="1" borderId="6" fillId="2" fontId="5" numFmtId="0" pivotButton="0" quotePrefix="0" xfId="0">
      <alignment horizontal="center" vertical="center" wrapText="1"/>
    </xf>
    <xf applyAlignment="1" borderId="6" fillId="0" fontId="3" numFmtId="0" pivotButton="0" quotePrefix="0" xfId="0">
      <alignment horizontal="center" vertical="center"/>
    </xf>
    <xf applyAlignment="1" borderId="6" fillId="0" fontId="3" numFmtId="2" pivotButton="0" quotePrefix="0" xfId="0">
      <alignment horizontal="center" vertical="center" wrapText="1"/>
    </xf>
    <xf applyAlignment="1" borderId="7" fillId="0" fontId="3" numFmtId="2" pivotButton="0" quotePrefix="0" xfId="0">
      <alignment horizontal="center" vertical="center" wrapText="1"/>
    </xf>
    <xf applyAlignment="1" borderId="6" fillId="0" fontId="3" numFmtId="0" pivotButton="0" quotePrefix="0" xfId="0">
      <alignment horizontal="center" vertical="center" wrapText="1"/>
    </xf>
    <xf applyAlignment="1" borderId="6" fillId="0" fontId="3" numFmtId="0" pivotButton="0" quotePrefix="0" xfId="0">
      <alignment horizontal="center" vertical="center" wrapText="1"/>
    </xf>
    <xf applyAlignment="1" borderId="7" fillId="0" fontId="3" numFmtId="0" pivotButton="0" quotePrefix="0" xfId="0">
      <alignment horizontal="center" vertical="center" wrapText="1"/>
    </xf>
    <xf applyAlignment="1" borderId="6" fillId="0" fontId="3" numFmtId="0" pivotButton="0" quotePrefix="0" xfId="0">
      <alignment horizontal="center" vertical="center"/>
    </xf>
    <xf applyAlignment="1" borderId="8" fillId="2" fontId="5" numFmtId="0" pivotButton="0" quotePrefix="0" xfId="0">
      <alignment horizontal="center" vertical="center" wrapText="1"/>
    </xf>
    <xf applyAlignment="1" borderId="8" fillId="0" fontId="6" numFmtId="0" pivotButton="0" quotePrefix="0" xfId="0">
      <alignment horizontal="center" vertical="center" wrapText="1"/>
    </xf>
    <xf applyAlignment="1" borderId="8" fillId="0" fontId="6" numFmtId="0" pivotButton="0" quotePrefix="0" xfId="0">
      <alignment horizontal="center" vertical="center" wrapText="1"/>
    </xf>
    <xf applyAlignment="1" borderId="8" fillId="0" fontId="6" numFmtId="2" pivotButton="0" quotePrefix="0" xfId="0">
      <alignment horizontal="center" vertical="center" wrapText="1"/>
    </xf>
    <xf applyAlignment="1" borderId="9" fillId="0" fontId="6" numFmtId="0" pivotButton="0" quotePrefix="0" xfId="0">
      <alignment horizontal="center" vertical="center" wrapText="1"/>
    </xf>
    <xf applyAlignment="1" borderId="8" fillId="0" fontId="6" numFmtId="0" pivotButton="0" quotePrefix="0" xfId="0">
      <alignment horizontal="center" vertical="center"/>
    </xf>
    <xf applyAlignment="1" borderId="8" fillId="0" fontId="6" numFmtId="2" pivotButton="0" quotePrefix="0" xfId="0">
      <alignment horizontal="center" vertical="center" wrapText="1"/>
    </xf>
    <xf applyAlignment="1" borderId="9" fillId="0" fontId="6" numFmtId="2" pivotButton="0" quotePrefix="0" xfId="0">
      <alignment horizontal="center" vertical="center" wrapText="1"/>
    </xf>
    <xf applyAlignment="1" borderId="0" fillId="0" fontId="0" numFmtId="2" pivotButton="0" quotePrefix="0" xfId="0">
      <alignment vertical="center"/>
    </xf>
    <xf applyAlignment="1" borderId="6" fillId="0" fontId="0" numFmtId="0" pivotButton="0" quotePrefix="0" xfId="0">
      <alignment vertical="center"/>
    </xf>
    <xf applyAlignment="1" borderId="6" fillId="0" fontId="6" numFmtId="0" pivotButton="0" quotePrefix="0" xfId="0">
      <alignment horizontal="center" vertical="center"/>
    </xf>
    <xf applyAlignment="1" borderId="6" fillId="0" fontId="6" numFmtId="2" pivotButton="0" quotePrefix="0" xfId="0">
      <alignment horizontal="center" vertical="center" wrapText="1"/>
    </xf>
    <xf applyAlignment="1" borderId="6" fillId="0" fontId="6" numFmtId="0" pivotButton="0" quotePrefix="0" xfId="0">
      <alignment horizontal="center" vertical="center" wrapText="1"/>
    </xf>
    <xf applyAlignment="1" borderId="7" fillId="0" fontId="6" numFmtId="2" pivotButton="0" quotePrefix="0" xfId="0">
      <alignment horizontal="center" vertical="center" wrapText="1"/>
    </xf>
    <xf applyAlignment="1" borderId="6" fillId="2" fontId="7" numFmtId="0" pivotButton="0" quotePrefix="0" xfId="0">
      <alignment horizontal="center" vertical="center" wrapText="1"/>
    </xf>
    <xf applyAlignment="1" borderId="6" fillId="0" fontId="8" numFmtId="0" pivotButton="0" quotePrefix="0" xfId="0">
      <alignment horizontal="center" vertical="center"/>
    </xf>
    <xf applyAlignment="1" borderId="6" fillId="0" fontId="9" numFmtId="2" pivotButton="0" quotePrefix="0" xfId="0">
      <alignment horizontal="center" vertical="center"/>
    </xf>
    <xf applyAlignment="1" borderId="6" fillId="0" fontId="9" numFmtId="0" pivotButton="0" quotePrefix="0" xfId="0">
      <alignment horizontal="center" vertical="center"/>
    </xf>
    <xf applyAlignment="1" borderId="7" fillId="0" fontId="9" numFmtId="2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6" fillId="0" fontId="8" numFmtId="0" pivotButton="0" quotePrefix="0" xfId="0">
      <alignment vertical="center"/>
    </xf>
    <xf applyAlignment="1" borderId="7" fillId="0" fontId="8" numFmtId="0" pivotButton="0" quotePrefix="0" xfId="0">
      <alignment horizontal="center" vertical="center"/>
    </xf>
    <xf applyAlignment="1" borderId="10" fillId="0" fontId="8" numFmtId="0" pivotButton="0" quotePrefix="0" xfId="0">
      <alignment horizontal="center" vertical="center"/>
    </xf>
    <xf applyAlignment="1" borderId="11" fillId="0" fontId="8" numFmtId="0" pivotButton="0" quotePrefix="0" xfId="0">
      <alignment horizontal="center" vertical="center"/>
    </xf>
    <xf applyAlignment="1" borderId="6" fillId="0" fontId="10" numFmtId="0" pivotButton="0" quotePrefix="0" xfId="0">
      <alignment vertical="center"/>
    </xf>
    <xf applyAlignment="1" borderId="6" fillId="0" fontId="10" numFmtId="0" pivotButton="0" quotePrefix="0" xfId="0">
      <alignment horizontal="center" vertical="center"/>
    </xf>
    <xf applyAlignment="1" borderId="0" fillId="0" fontId="4" numFmtId="0" pivotButton="0" quotePrefix="0" xfId="0">
      <alignment vertical="center"/>
    </xf>
    <xf applyAlignment="1" borderId="6" fillId="0" fontId="8" numFmtId="164" pivotButton="0" quotePrefix="0" xfId="0">
      <alignment vertical="center"/>
    </xf>
    <xf applyAlignment="1" borderId="6" fillId="0" fontId="8" numFmtId="164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2" fillId="2" fontId="1" numFmtId="0" pivotButton="0" quotePrefix="0" xfId="0">
      <alignment horizontal="center" vertical="center" wrapText="1"/>
    </xf>
    <xf applyAlignment="1" borderId="13" fillId="2" fontId="1" numFmtId="0" pivotButton="0" quotePrefix="0" xfId="0">
      <alignment horizontal="center" vertical="center" wrapText="1"/>
    </xf>
    <xf applyAlignment="1" borderId="12" fillId="0" fontId="3" numFmtId="0" pivotButton="0" quotePrefix="0" xfId="0">
      <alignment horizontal="center" vertical="center"/>
    </xf>
    <xf applyAlignment="1" borderId="7" fillId="0" fontId="3" numFmtId="0" pivotButton="0" quotePrefix="0" xfId="0">
      <alignment horizontal="center" vertical="center"/>
    </xf>
    <xf applyAlignment="1" borderId="6" fillId="0" fontId="4" numFmtId="0" pivotButton="0" quotePrefix="0" xfId="0">
      <alignment vertical="center"/>
    </xf>
    <xf applyAlignment="1" borderId="7" fillId="0" fontId="3" numFmtId="0" pivotButton="0" quotePrefix="0" xfId="0">
      <alignment horizontal="center" vertical="center" wrapText="1"/>
    </xf>
    <xf applyAlignment="1" borderId="7" fillId="0" fontId="3" numFmtId="0" pivotButton="0" quotePrefix="0" xfId="0">
      <alignment horizontal="center" vertical="center"/>
    </xf>
    <xf applyAlignment="1" borderId="9" fillId="0" fontId="6" numFmtId="0" pivotButton="0" quotePrefix="0" xfId="0">
      <alignment horizontal="center" vertical="center" wrapText="1"/>
    </xf>
    <xf applyAlignment="1" borderId="6" fillId="0" fontId="4" numFmtId="0" pivotButton="0" quotePrefix="0" xfId="0">
      <alignment vertical="center"/>
    </xf>
    <xf applyAlignment="1" borderId="6" fillId="0" fontId="11" numFmtId="2" pivotButton="0" quotePrefix="0" xfId="0">
      <alignment horizontal="center" vertical="center" wrapText="1"/>
    </xf>
    <xf applyAlignment="1" borderId="0" fillId="0" fontId="0" numFmtId="0" pivotButton="0" quotePrefix="0" xfId="0">
      <alignment vertical="center"/>
    </xf>
    <xf applyAlignment="1" borderId="7" fillId="0" fontId="0" numFmtId="0" pivotButton="0" quotePrefix="0" xfId="0">
      <alignment vertical="center"/>
    </xf>
    <xf applyAlignment="1" borderId="14" fillId="2" fontId="1" numFmtId="0" pivotButton="0" quotePrefix="0" xfId="0">
      <alignment horizontal="center" vertical="center" wrapText="1"/>
    </xf>
    <xf applyAlignment="1" borderId="0" fillId="2" fontId="1" numFmtId="0" pivotButton="0" quotePrefix="0" xfId="0">
      <alignment horizontal="center" vertical="center" wrapText="1"/>
    </xf>
    <xf applyAlignment="1" borderId="15" fillId="0" fontId="3" numFmtId="2" pivotButton="0" quotePrefix="0" xfId="0">
      <alignment horizontal="center" vertical="center" wrapText="1"/>
    </xf>
    <xf applyAlignment="1" borderId="0" fillId="0" fontId="6" numFmtId="2" pivotButton="0" quotePrefix="0" xfId="0">
      <alignment horizontal="center" vertical="center" wrapText="1"/>
    </xf>
    <xf applyAlignment="1" borderId="16" fillId="0" fontId="3" numFmtId="2" pivotButton="0" quotePrefix="0" xfId="0">
      <alignment horizontal="center" vertical="center" wrapText="1"/>
    </xf>
    <xf applyAlignment="1" borderId="9" fillId="0" fontId="6" numFmtId="0" pivotButton="0" quotePrefix="0" xfId="0">
      <alignment horizontal="center" vertical="center"/>
    </xf>
    <xf applyAlignment="1" borderId="6" fillId="0" fontId="6" numFmtId="2" pivotButton="0" quotePrefix="0" xfId="0">
      <alignment horizontal="center" vertical="center" wrapText="1"/>
    </xf>
    <xf applyAlignment="1" borderId="0" fillId="0" fontId="0" numFmtId="0" pivotButton="0" quotePrefix="0" xfId="0">
      <alignment vertical="center"/>
    </xf>
    <xf borderId="0" fillId="0" fontId="0" numFmtId="0" pivotButton="0" quotePrefix="0" xfId="0"/>
    <xf applyAlignment="1" borderId="6" fillId="0" fontId="8" numFmtId="164" pivotButton="0" quotePrefix="0" xfId="0">
      <alignment vertical="center"/>
    </xf>
    <xf applyAlignment="1" borderId="6" fillId="0" fontId="8" numFmtId="164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25">
    <dxf>
      <fill>
        <patternFill patternType="solid">
          <bgColor rgb="FF92D050"/>
        </patternFill>
      </fill>
    </dxf>
    <dxf>
      <fill>
        <patternFill patternType="solid">
          <bgColor rgb="FFE16975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43308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rgb="FFFF4343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  <diagonal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/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  <diagonal/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diagonal/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diagonal/>
      </border>
    </dxf>
  </dxfs>
  <tableStyles count="2" defaultPivotStyle="PivotStylePreset2_Accent1" defaultTableStyle="TableStylePreset3_Accent1">
    <tableStyle count="7" name="TableStylePreset3_Accent1" pivot="0">
      <tableStyleElement dxfId="8" type="firstColumnStripe"/>
    </tableStyle>
    <tableStyle count="10" name="PivotStylePreset2_Accent1" table="0">
      <tableStyleElement dxfId="15" type="pageFieldValues"/>
    </tableStyle>
  </tableStyle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sharedStrings.xml" Type="http://schemas.openxmlformats.org/officeDocument/2006/relationships/sharedStrings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9"/>
  <sheetViews>
    <sheetView workbookViewId="0">
      <selection activeCell="F23" sqref="F23"/>
    </sheetView>
  </sheetViews>
  <sheetFormatPr baseColWidth="8" defaultColWidth="8.72972972972973" defaultRowHeight="14.1" outlineLevelCol="0"/>
  <cols>
    <col customWidth="1" max="1" min="1" style="67" width="26.4054054054054"/>
    <col customWidth="1" max="2" min="2" style="67" width="10.7297297297297"/>
    <col customWidth="1" max="3" min="3" style="67" width="8.72972972972973"/>
    <col customWidth="1" max="6" min="4" style="67" width="9.189189189189189"/>
    <col customWidth="1" max="7" min="7" style="67" width="8.72972972972973"/>
    <col customWidth="1" max="9" min="8" style="67" width="9.45045045045045"/>
    <col customWidth="1" max="12" min="10" style="67" width="9.189189189189189"/>
    <col customWidth="1" max="13" min="13" style="67" width="8.72972972972973"/>
    <col customWidth="1" max="14" min="14" style="67" width="9.45045045045045"/>
    <col customWidth="1" max="17" min="15" style="67" width="9.189189189189189"/>
    <col customWidth="1" max="18" min="18" style="67" width="10.5495495495495"/>
    <col customWidth="1" max="19" min="19" style="67" width="8.72972972972973"/>
    <col customWidth="1" max="20" min="20" style="67" width="9.45045045045045"/>
    <col customWidth="1" max="21" min="21" style="67" width="8.72972972972973"/>
    <col customWidth="1" max="24" min="22" style="67" width="9.189189189189189"/>
    <col customWidth="1" max="25" min="25" style="67" width="8.72972972972973"/>
    <col customWidth="1" max="26" min="26" style="67" width="9.45045045045045"/>
    <col customWidth="1" max="27" min="27" style="67" width="9.189189189189189"/>
  </cols>
  <sheetData>
    <row customHeight="1" ht="20.9" r="1" s="67" spans="1:35">
      <c r="A1" s="1" t="s">
        <v>0</v>
      </c>
      <c r="B1" s="1" t="s">
        <v>1</v>
      </c>
      <c r="C1" s="1" t="s">
        <v>2</v>
      </c>
      <c r="D1" s="47" t="s">
        <v>3</v>
      </c>
      <c r="J1" s="47" t="s">
        <v>4</v>
      </c>
      <c r="P1" s="59" t="s">
        <v>5</v>
      </c>
      <c r="V1" s="59" t="s">
        <v>6</v>
      </c>
    </row>
    <row customHeight="1" ht="26.5" r="2" s="67" spans="1:35">
      <c r="A2" s="6" t="n"/>
      <c r="B2" s="7" t="n"/>
      <c r="C2" s="49" t="n"/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12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7</v>
      </c>
      <c r="Q2" s="16" t="s">
        <v>8</v>
      </c>
      <c r="R2" s="16" t="s">
        <v>9</v>
      </c>
      <c r="S2" s="16" t="s">
        <v>10</v>
      </c>
      <c r="T2" s="16" t="s">
        <v>11</v>
      </c>
      <c r="U2" s="16" t="s">
        <v>12</v>
      </c>
      <c r="V2" s="16" t="s">
        <v>7</v>
      </c>
      <c r="W2" s="16" t="s">
        <v>8</v>
      </c>
      <c r="X2" s="16" t="s">
        <v>9</v>
      </c>
      <c r="Y2" s="16" t="s">
        <v>10</v>
      </c>
      <c r="Z2" s="16" t="s">
        <v>11</v>
      </c>
      <c r="AA2" s="16" t="s">
        <v>12</v>
      </c>
    </row>
    <row customHeight="1" ht="26.5" r="3" s="67" spans="1:35">
      <c r="A3" s="9" t="s">
        <v>13</v>
      </c>
      <c r="B3" s="16" t="n"/>
      <c r="C3" s="53" t="n"/>
      <c r="D3" s="11" t="n">
        <v>88.90000000000001</v>
      </c>
      <c r="E3" s="11" t="n">
        <v>9.41</v>
      </c>
      <c r="F3" s="11" t="n">
        <v>15.53</v>
      </c>
      <c r="G3" s="11">
        <f>D3-E3</f>
        <v/>
      </c>
      <c r="H3" s="11" t="n">
        <v>-18.29</v>
      </c>
      <c r="I3" s="11" t="n">
        <v>-17.13</v>
      </c>
      <c r="J3" s="11" t="n">
        <v>91.8</v>
      </c>
      <c r="K3" s="11" t="n">
        <v>40.28</v>
      </c>
      <c r="L3" s="11" t="n">
        <v>65.61</v>
      </c>
      <c r="M3" s="11">
        <f>J3-K3</f>
        <v/>
      </c>
      <c r="N3" s="11" t="n">
        <v>-11.57</v>
      </c>
      <c r="O3" s="11" t="n">
        <v>34.8</v>
      </c>
      <c r="P3" s="11" t="n">
        <v>82.95</v>
      </c>
      <c r="Q3" s="11" t="n">
        <v>16.35</v>
      </c>
      <c r="R3" s="11" t="n">
        <v>36.39</v>
      </c>
      <c r="S3" s="11">
        <f>P3-Q3</f>
        <v/>
      </c>
      <c r="T3" s="61" t="n">
        <v>-19.55</v>
      </c>
      <c r="U3" s="11" t="n">
        <v>15.69</v>
      </c>
      <c r="V3" s="11" t="n">
        <v>95.73</v>
      </c>
      <c r="W3" s="11" t="n">
        <v>63.81</v>
      </c>
      <c r="X3" s="11" t="n">
        <v>79.09</v>
      </c>
      <c r="Y3" s="11">
        <f>V3-W3</f>
        <v/>
      </c>
      <c r="Z3" s="11" t="n">
        <v>-12.36</v>
      </c>
      <c r="AA3" s="11" t="n">
        <v>9.02</v>
      </c>
    </row>
    <row customHeight="1" ht="26.5" r="4" s="67" spans="1:35">
      <c r="A4" s="9" t="s">
        <v>14</v>
      </c>
      <c r="B4" s="16" t="n"/>
      <c r="C4" s="53" t="n"/>
      <c r="D4" s="16" t="n">
        <v>86.25</v>
      </c>
      <c r="E4" s="16" t="n">
        <v>76.29000000000001</v>
      </c>
      <c r="F4" s="16" t="n">
        <v>79.27</v>
      </c>
      <c r="G4" s="11">
        <f>D4-E4</f>
        <v/>
      </c>
      <c r="H4" s="16" t="n">
        <v>-3.04</v>
      </c>
      <c r="I4" s="16" t="n">
        <v>13.67</v>
      </c>
      <c r="J4" s="16" t="n">
        <v>76.92</v>
      </c>
      <c r="K4" s="16" t="n">
        <v>64.18000000000001</v>
      </c>
      <c r="L4" s="16" t="n">
        <v>69.54000000000001</v>
      </c>
      <c r="M4" s="11">
        <f>J4-K4</f>
        <v/>
      </c>
      <c r="N4" s="16" t="n">
        <v>-2.42</v>
      </c>
      <c r="O4" s="16" t="n">
        <v>33.8</v>
      </c>
      <c r="P4" s="11" t="n">
        <v>62.49</v>
      </c>
      <c r="Q4" s="11" t="n">
        <v>50.93</v>
      </c>
      <c r="R4" s="11" t="n">
        <v>55.3</v>
      </c>
      <c r="S4" s="11">
        <f>P4-Q4</f>
        <v/>
      </c>
      <c r="T4" s="11" t="n">
        <v>-4.34</v>
      </c>
      <c r="U4" s="11" t="n">
        <v>35.89</v>
      </c>
      <c r="V4" s="16" t="n">
        <v>94.98</v>
      </c>
      <c r="W4" s="16" t="n">
        <v>87.66</v>
      </c>
      <c r="X4" s="16" t="n">
        <v>91.05</v>
      </c>
      <c r="Y4" s="11">
        <f>V4-W4</f>
        <v/>
      </c>
      <c r="Z4" s="11" t="n">
        <v>-1.01</v>
      </c>
      <c r="AA4" s="11" t="n">
        <v>-0.47</v>
      </c>
    </row>
    <row customHeight="1" ht="26.5" r="5" s="67" spans="1:35">
      <c r="A5" s="9" t="s">
        <v>15</v>
      </c>
      <c r="B5" s="14" t="s">
        <v>16</v>
      </c>
      <c r="C5" s="52" t="n">
        <v>2022</v>
      </c>
      <c r="D5" s="14" t="n">
        <v>88.81</v>
      </c>
      <c r="E5" s="14" t="n">
        <v>47.29</v>
      </c>
      <c r="F5" s="14" t="n">
        <v>63.69</v>
      </c>
      <c r="G5" s="11">
        <f>D5-E5</f>
        <v/>
      </c>
      <c r="H5" s="14" t="n">
        <v>-0.28</v>
      </c>
      <c r="I5" s="14" t="n">
        <v>11.67</v>
      </c>
      <c r="J5" s="14" t="n">
        <v>92.13</v>
      </c>
      <c r="K5" s="14" t="n">
        <v>55.16</v>
      </c>
      <c r="L5" s="14" t="n">
        <v>71</v>
      </c>
      <c r="M5" s="11">
        <f>J5-K5</f>
        <v/>
      </c>
      <c r="N5" s="14" t="n">
        <v>-0.33</v>
      </c>
      <c r="O5" s="14" t="n">
        <v>40.8</v>
      </c>
      <c r="P5" s="11" t="n">
        <v>80.48999999999999</v>
      </c>
      <c r="Q5" s="11" t="n">
        <v>43.12</v>
      </c>
      <c r="R5" s="11" t="n">
        <v>58.45</v>
      </c>
      <c r="S5" s="11">
        <f>P5-Q5</f>
        <v/>
      </c>
      <c r="T5" s="11" t="n">
        <v>0.47</v>
      </c>
      <c r="U5" s="11" t="n">
        <v>38.89</v>
      </c>
      <c r="V5" s="14" t="n">
        <v>96.92</v>
      </c>
      <c r="W5" s="14" t="n">
        <v>61.84</v>
      </c>
      <c r="X5" s="14" t="n">
        <v>76.29000000000001</v>
      </c>
      <c r="Y5" s="11">
        <f>V5-W5</f>
        <v/>
      </c>
      <c r="Z5" s="11" t="n">
        <v>-0.52</v>
      </c>
      <c r="AA5" s="11" t="n">
        <v>15.52</v>
      </c>
    </row>
    <row customHeight="1" ht="26.5" r="6" s="67" spans="1:35">
      <c r="A6" s="9" t="s">
        <v>17</v>
      </c>
      <c r="B6" s="14" t="n"/>
      <c r="C6" s="52" t="n"/>
      <c r="D6" s="14" t="n">
        <v>89.58</v>
      </c>
      <c r="E6" s="14" t="n">
        <v>49.79</v>
      </c>
      <c r="F6" s="14" t="n">
        <v>65.97</v>
      </c>
      <c r="G6" s="11">
        <f>D6-E6</f>
        <v/>
      </c>
      <c r="H6" s="14" t="n">
        <v>-0.07000000000000001</v>
      </c>
      <c r="I6" s="14" t="n">
        <v>17.78</v>
      </c>
      <c r="J6" s="14" t="n">
        <v>93.40000000000001</v>
      </c>
      <c r="K6" s="14" t="n">
        <v>56.11</v>
      </c>
      <c r="L6" s="14" t="n">
        <v>71.97</v>
      </c>
      <c r="M6" s="11">
        <f>J6-K6</f>
        <v/>
      </c>
      <c r="N6" s="14" t="n">
        <v>-0.2</v>
      </c>
      <c r="O6" s="14" t="n">
        <v>44.3</v>
      </c>
      <c r="P6" s="14" t="n">
        <v>82.03</v>
      </c>
      <c r="Q6" s="14" t="n">
        <v>46.03</v>
      </c>
      <c r="R6" s="14" t="n">
        <v>60.3</v>
      </c>
      <c r="S6" s="11">
        <f>P6-Q6</f>
        <v/>
      </c>
      <c r="T6" s="61" t="n">
        <v>-0.01</v>
      </c>
      <c r="U6" s="11" t="n">
        <v>45.29</v>
      </c>
      <c r="V6" s="14" t="n">
        <v>97.68000000000001</v>
      </c>
      <c r="W6" s="14" t="n">
        <v>64.17</v>
      </c>
      <c r="X6" s="14" t="n">
        <v>78.08</v>
      </c>
      <c r="Y6" s="11">
        <f>V6-W6</f>
        <v/>
      </c>
      <c r="Z6" s="14" t="n">
        <v>-0.23</v>
      </c>
      <c r="AA6" s="14" t="n">
        <v>13.02</v>
      </c>
    </row>
    <row customHeight="1" ht="26.5" r="7" s="67" spans="1:35">
      <c r="A7" s="9" t="s">
        <v>18</v>
      </c>
      <c r="B7" s="14" t="s">
        <v>19</v>
      </c>
      <c r="C7" s="52" t="n">
        <v>2023</v>
      </c>
      <c r="D7" s="11" t="n">
        <v>88.56</v>
      </c>
      <c r="E7" s="11" t="n">
        <v>46.4</v>
      </c>
      <c r="F7" s="11" t="n">
        <v>63.45</v>
      </c>
      <c r="G7" s="11">
        <f>D7-E7</f>
        <v/>
      </c>
      <c r="H7" s="11" t="n">
        <v>-0.35</v>
      </c>
      <c r="I7" s="11" t="n">
        <v>9.07</v>
      </c>
      <c r="J7" s="11" t="n">
        <v>90.53</v>
      </c>
      <c r="K7" s="11" t="n">
        <v>53.7</v>
      </c>
      <c r="L7" s="11" t="n">
        <v>69.51000000000001</v>
      </c>
      <c r="M7" s="11">
        <f>J7-K7</f>
        <v/>
      </c>
      <c r="N7" s="11" t="n">
        <v>-0.13</v>
      </c>
      <c r="O7" s="11" t="n">
        <v>45.3</v>
      </c>
      <c r="P7" s="11" t="n">
        <v>73.61</v>
      </c>
      <c r="Q7" s="11" t="n">
        <v>37.27</v>
      </c>
      <c r="R7" s="11" t="n">
        <v>51.68</v>
      </c>
      <c r="S7" s="11">
        <f>P7-Q7</f>
        <v/>
      </c>
      <c r="T7" s="11" t="n">
        <v>-1.96</v>
      </c>
      <c r="U7" s="11" t="n">
        <v>35.49</v>
      </c>
      <c r="V7" s="11" t="n">
        <v>96.68000000000001</v>
      </c>
      <c r="W7" s="11" t="n">
        <v>58.12</v>
      </c>
      <c r="X7" s="11" t="n">
        <v>74.8</v>
      </c>
      <c r="Y7" s="11">
        <f>V7-W7</f>
        <v/>
      </c>
      <c r="Z7" s="11" t="n">
        <v>-0.09</v>
      </c>
      <c r="AA7" s="11" t="n">
        <v>-30.98</v>
      </c>
    </row>
    <row customHeight="1" ht="26.5" r="8" s="67" spans="1:35">
      <c r="A8" s="9" t="s">
        <v>20</v>
      </c>
      <c r="B8" s="14" t="s">
        <v>16</v>
      </c>
      <c r="C8" s="52" t="n">
        <v>2024</v>
      </c>
      <c r="D8" s="11" t="n">
        <v>91.12</v>
      </c>
      <c r="E8" s="11" t="n">
        <v>45.46</v>
      </c>
      <c r="F8" s="11" t="n">
        <v>64.56999999999999</v>
      </c>
      <c r="G8" s="11">
        <f>D8-E8</f>
        <v/>
      </c>
      <c r="H8" s="11" t="n">
        <v>-0.08</v>
      </c>
      <c r="I8" s="11" t="n">
        <v>14.87</v>
      </c>
      <c r="J8" s="11" t="n">
        <v>94.02</v>
      </c>
      <c r="K8" s="11" t="n">
        <v>56.27</v>
      </c>
      <c r="L8" s="11" t="n">
        <v>72.37</v>
      </c>
      <c r="M8" s="11">
        <f>J8-K8</f>
        <v/>
      </c>
      <c r="N8" s="11" t="n">
        <v>-0.34</v>
      </c>
      <c r="O8" s="11" t="n">
        <v>37.3</v>
      </c>
      <c r="P8" s="11" t="n">
        <v>85.72</v>
      </c>
      <c r="Q8" s="11" t="n">
        <v>43.28</v>
      </c>
      <c r="R8" s="11" t="n">
        <v>60.84</v>
      </c>
      <c r="S8" s="11">
        <f>P8-Q8</f>
        <v/>
      </c>
      <c r="T8" s="11" t="n">
        <v>-0.35</v>
      </c>
      <c r="U8" s="11" t="n">
        <v>44.89</v>
      </c>
      <c r="V8" s="11" t="n">
        <v>97.78</v>
      </c>
      <c r="W8" s="11" t="n">
        <v>58.6</v>
      </c>
      <c r="X8" s="11" t="n">
        <v>75.34</v>
      </c>
      <c r="Y8" s="11">
        <f>V8-W8</f>
        <v/>
      </c>
      <c r="Z8" s="11" t="n">
        <v>-0.11</v>
      </c>
      <c r="AA8" s="11" t="n">
        <v>17.02</v>
      </c>
    </row>
    <row customHeight="1" ht="26.5" r="9" s="67" spans="1:35">
      <c r="A9" s="9" t="s">
        <v>21</v>
      </c>
      <c r="B9" s="16" t="s">
        <v>22</v>
      </c>
      <c r="C9" s="53" t="n">
        <v>2025</v>
      </c>
      <c r="D9" s="11" t="n">
        <v>89.5</v>
      </c>
      <c r="E9" s="11" t="n">
        <v>66.37</v>
      </c>
      <c r="F9" s="11" t="n">
        <v>74.36</v>
      </c>
      <c r="G9" s="11">
        <f>D9-E9</f>
        <v/>
      </c>
      <c r="H9" s="11" t="n">
        <v>-12.63</v>
      </c>
      <c r="I9" s="11" t="n">
        <v>23.6</v>
      </c>
      <c r="J9" s="11" t="n">
        <v>93.55</v>
      </c>
      <c r="K9" s="11" t="n">
        <v>74.34</v>
      </c>
      <c r="L9" s="11" t="n">
        <v>81.08</v>
      </c>
      <c r="M9" s="11">
        <f>J9-K9</f>
        <v/>
      </c>
      <c r="N9" s="11" t="n">
        <v>-0.65</v>
      </c>
      <c r="O9" s="11" t="n">
        <v>47.5</v>
      </c>
      <c r="P9" s="14" t="n">
        <v>85.09</v>
      </c>
      <c r="Q9" s="14" t="n">
        <v>52.92</v>
      </c>
      <c r="R9" s="14" t="n">
        <v>59.01</v>
      </c>
      <c r="S9" s="11">
        <f>P9-Q9</f>
        <v/>
      </c>
      <c r="T9" s="61" t="n">
        <v>-5.28</v>
      </c>
      <c r="U9" s="11" t="n">
        <v>35.01</v>
      </c>
      <c r="V9" s="11" t="n">
        <v>97.81999999999999</v>
      </c>
      <c r="W9" s="11" t="n">
        <v>82.54000000000001</v>
      </c>
      <c r="X9" s="11" t="n">
        <v>85.2</v>
      </c>
      <c r="Y9" s="11">
        <f>V9-W9</f>
        <v/>
      </c>
      <c r="Z9" s="14" t="n">
        <v>0.38</v>
      </c>
      <c r="AA9" s="14" t="n">
        <v>13.92</v>
      </c>
    </row>
    <row customHeight="1" ht="26.5" r="10" s="67" spans="1:35">
      <c r="A10" s="9" t="s">
        <v>23</v>
      </c>
      <c r="B10" s="14" t="s">
        <v>24</v>
      </c>
      <c r="C10" s="52" t="n">
        <v>2024</v>
      </c>
      <c r="D10" s="11" t="n">
        <v>87.28</v>
      </c>
      <c r="E10" s="11" t="n">
        <v>82.95</v>
      </c>
      <c r="F10" s="11" t="n">
        <v>83.3</v>
      </c>
      <c r="G10" s="11">
        <f>D10-E10</f>
        <v/>
      </c>
      <c r="H10" s="11" t="n">
        <v>-1.82</v>
      </c>
      <c r="I10" s="11" t="n">
        <v>9.470000000000001</v>
      </c>
      <c r="J10" s="11" t="n">
        <v>84.12</v>
      </c>
      <c r="K10" s="11" t="n">
        <v>64.48999999999999</v>
      </c>
      <c r="L10" s="11" t="n">
        <v>72.86</v>
      </c>
      <c r="M10" s="11">
        <f>J10-K10</f>
        <v/>
      </c>
      <c r="N10" s="11" t="n">
        <v>-2.68</v>
      </c>
      <c r="O10" s="11" t="n">
        <v>12.3</v>
      </c>
      <c r="P10" s="11" t="n">
        <v>81.20999999999999</v>
      </c>
      <c r="Q10" s="11" t="n">
        <v>67.34999999999999</v>
      </c>
      <c r="R10" s="11" t="n">
        <v>73.40000000000001</v>
      </c>
      <c r="S10" s="11">
        <f>P10-Q10</f>
        <v/>
      </c>
      <c r="T10" s="11" t="n">
        <v>-3.36</v>
      </c>
      <c r="U10" s="61" t="n">
        <v>17.69</v>
      </c>
      <c r="V10" s="11" t="n">
        <v>97.03</v>
      </c>
      <c r="W10" s="11" t="n">
        <v>94.43000000000001</v>
      </c>
      <c r="X10" s="11" t="n">
        <v>95.47</v>
      </c>
      <c r="Y10" s="11">
        <f>V10-W10</f>
        <v/>
      </c>
      <c r="Z10" s="11" t="n">
        <v>-0.9</v>
      </c>
      <c r="AA10" s="11" t="n">
        <v>6.52</v>
      </c>
    </row>
    <row customHeight="1" ht="26.5" r="11" s="67" spans="1:35">
      <c r="A11" s="9" t="s">
        <v>25</v>
      </c>
      <c r="B11" s="14" t="s">
        <v>16</v>
      </c>
      <c r="C11" s="52" t="n">
        <v>2025</v>
      </c>
      <c r="D11" s="11" t="n">
        <v>87.62</v>
      </c>
      <c r="E11" s="11" t="n">
        <v>83.29000000000001</v>
      </c>
      <c r="F11" s="11" t="n">
        <v>83.84</v>
      </c>
      <c r="G11" s="11">
        <f>D11-E11</f>
        <v/>
      </c>
      <c r="H11" s="11" t="n">
        <v>-1.01</v>
      </c>
      <c r="I11" s="11" t="n">
        <v>9.470000000000001</v>
      </c>
      <c r="J11" s="11" t="n">
        <v>91.65000000000001</v>
      </c>
      <c r="K11" s="11" t="n">
        <v>86.90000000000001</v>
      </c>
      <c r="L11" s="11" t="n">
        <v>89.22</v>
      </c>
      <c r="M11" s="11">
        <f>J11-K11</f>
        <v/>
      </c>
      <c r="N11" s="11" t="n">
        <v>-1.42</v>
      </c>
      <c r="O11" s="11" t="n">
        <v>30.8</v>
      </c>
      <c r="P11" s="11" t="n">
        <v>82.86</v>
      </c>
      <c r="Q11" s="11" t="n">
        <v>72.06999999999999</v>
      </c>
      <c r="R11" s="11" t="n">
        <v>76.59</v>
      </c>
      <c r="S11" s="11">
        <f>P11-Q11</f>
        <v/>
      </c>
      <c r="T11" s="12" t="n">
        <v>-2.72</v>
      </c>
      <c r="U11" s="11" t="n">
        <v>26.09</v>
      </c>
      <c r="V11" s="11" t="n">
        <v>97.02</v>
      </c>
      <c r="W11" s="11" t="n">
        <v>94.66</v>
      </c>
      <c r="X11" s="11" t="n">
        <v>95.67</v>
      </c>
      <c r="Y11" s="11">
        <f>V11-W11</f>
        <v/>
      </c>
      <c r="Z11" s="11" t="n">
        <v>-0.4</v>
      </c>
      <c r="AA11" s="11" t="n">
        <v>8.52</v>
      </c>
      <c r="AH11" s="62" t="n"/>
      <c r="AI11" s="62" t="n"/>
    </row>
    <row customHeight="1" ht="26.5" r="12" s="67" spans="1:35">
      <c r="A12" s="9" t="s">
        <v>26</v>
      </c>
      <c r="B12" s="16" t="n"/>
      <c r="C12" s="53" t="n"/>
      <c r="D12" s="14" t="n">
        <v>89.23999999999999</v>
      </c>
      <c r="E12" s="14" t="n">
        <v>85.23999999999999</v>
      </c>
      <c r="F12" s="14" t="n">
        <v>85.55</v>
      </c>
      <c r="G12" s="11">
        <f>D12-E12</f>
        <v/>
      </c>
      <c r="H12" s="14" t="n">
        <v>-1.38</v>
      </c>
      <c r="I12" s="14" t="n">
        <v>13.27</v>
      </c>
      <c r="J12" s="14" t="n">
        <v>93.06999999999999</v>
      </c>
      <c r="K12" s="14" t="n">
        <v>87.95</v>
      </c>
      <c r="L12" s="14" t="n">
        <v>90.26000000000001</v>
      </c>
      <c r="M12" s="11">
        <f>J12-K12</f>
        <v/>
      </c>
      <c r="N12" s="14" t="n">
        <v>-1.24</v>
      </c>
      <c r="O12" s="14" t="n">
        <v>39.3</v>
      </c>
      <c r="P12" s="14" t="n">
        <v>84.53</v>
      </c>
      <c r="Q12" s="14" t="n">
        <v>72.23</v>
      </c>
      <c r="R12" s="14" t="n">
        <v>77.54000000000001</v>
      </c>
      <c r="S12" s="11">
        <f>P12-Q12</f>
        <v/>
      </c>
      <c r="T12" s="61" t="n">
        <v>-5.72</v>
      </c>
      <c r="U12" s="63" t="n">
        <v>39.49</v>
      </c>
      <c r="V12" s="14" t="n">
        <v>97.68000000000001</v>
      </c>
      <c r="W12" s="14" t="n">
        <v>95.22</v>
      </c>
      <c r="X12" s="14" t="n">
        <v>96.22</v>
      </c>
      <c r="Y12" s="11">
        <f>V12-W12</f>
        <v/>
      </c>
      <c r="Z12" s="14" t="n">
        <v>-0.77</v>
      </c>
      <c r="AA12" s="14" t="n">
        <v>16.02</v>
      </c>
    </row>
    <row customHeight="1" ht="26.5" r="13" s="67" spans="1:35">
      <c r="A13" s="17" t="s">
        <v>27</v>
      </c>
      <c r="B13" s="22" t="n"/>
      <c r="C13" s="64" t="n"/>
      <c r="D13" s="65" t="n">
        <v>89.06999999999999</v>
      </c>
      <c r="E13" s="65" t="n">
        <v>84.31</v>
      </c>
      <c r="F13" s="65" t="n">
        <v>84.95</v>
      </c>
      <c r="G13" s="11">
        <f>D13-E13</f>
        <v/>
      </c>
      <c r="H13" s="65" t="n">
        <v>-1.64</v>
      </c>
      <c r="I13" s="65" t="n">
        <v>16.67</v>
      </c>
      <c r="J13" s="65" t="n">
        <v>93.09999999999999</v>
      </c>
      <c r="K13" s="65" t="n">
        <v>87.66</v>
      </c>
      <c r="L13" s="65" t="n">
        <v>90.03</v>
      </c>
      <c r="M13" s="11">
        <f>J13-K13</f>
        <v/>
      </c>
      <c r="N13" s="65" t="n">
        <v>-1.14</v>
      </c>
      <c r="O13" s="65" t="n">
        <v>47.8</v>
      </c>
      <c r="P13" s="65" t="n">
        <v>85.06</v>
      </c>
      <c r="Q13" s="65" t="n">
        <v>72.55</v>
      </c>
      <c r="R13" s="65" t="n">
        <v>77.98999999999999</v>
      </c>
      <c r="S13" s="11">
        <f>P13-Q13</f>
        <v/>
      </c>
      <c r="T13" s="11" t="n">
        <v>-5.15</v>
      </c>
      <c r="U13" s="11" t="n">
        <v>41.49</v>
      </c>
      <c r="V13" s="65" t="n">
        <v>97.84999999999999</v>
      </c>
      <c r="W13" s="65" t="n">
        <v>95.48999999999999</v>
      </c>
      <c r="X13" s="65" t="n">
        <v>96.44</v>
      </c>
      <c r="Y13" s="11">
        <f>V13-W13</f>
        <v/>
      </c>
      <c r="Z13" s="65" t="n">
        <v>-0.63</v>
      </c>
      <c r="AA13" s="65" t="n">
        <v>16.52</v>
      </c>
    </row>
    <row customHeight="1" ht="21.85" r="14" s="67" spans="1:35">
      <c r="A14" s="17" t="s">
        <v>28</v>
      </c>
      <c r="B14" s="65" t="n"/>
      <c r="C14" s="65" t="n"/>
      <c r="D14" s="65" t="n">
        <v>88.64</v>
      </c>
      <c r="E14" s="11" t="n">
        <v>84.94</v>
      </c>
      <c r="F14" s="65" t="n">
        <v>85.23</v>
      </c>
      <c r="G14" s="65" t="n">
        <v>3.7</v>
      </c>
      <c r="H14" s="65" t="n">
        <v>-1.35</v>
      </c>
      <c r="I14" s="65" t="n"/>
      <c r="J14" s="11" t="n">
        <v>93.03</v>
      </c>
      <c r="K14" s="65" t="n">
        <v>87.66</v>
      </c>
      <c r="L14" s="65" t="n">
        <v>90.11</v>
      </c>
      <c r="M14" s="65" t="n">
        <v>5.37</v>
      </c>
      <c r="N14" s="65" t="n">
        <v>-1.16</v>
      </c>
      <c r="O14" s="11" t="n"/>
      <c r="P14" s="65" t="n">
        <v>84.86</v>
      </c>
      <c r="Q14" s="65" t="n">
        <v>72.65000000000001</v>
      </c>
      <c r="R14" s="65" t="n">
        <v>77.81999999999999</v>
      </c>
      <c r="S14" s="65" t="n">
        <v>12.21</v>
      </c>
      <c r="T14" s="11" t="n">
        <v>-5.03</v>
      </c>
      <c r="U14" s="65" t="n"/>
      <c r="V14" s="65" t="n">
        <v>97.87</v>
      </c>
      <c r="W14" s="65" t="n">
        <v>95.5</v>
      </c>
      <c r="X14" s="65" t="n">
        <v>96.44</v>
      </c>
      <c r="Y14" s="11" t="n">
        <v>2.37</v>
      </c>
      <c r="Z14" s="65" t="n">
        <v>-0.61</v>
      </c>
      <c r="AA14" s="65" t="n"/>
    </row>
    <row customHeight="1" ht="21.85" r="15" s="67" spans="1:35">
      <c r="A15" s="17" t="s">
        <v>29</v>
      </c>
      <c r="B15" s="65" t="n"/>
      <c r="C15" s="65" t="n"/>
      <c r="D15" s="65" t="n">
        <v>88.64</v>
      </c>
      <c r="E15" s="11" t="n">
        <v>84.61</v>
      </c>
      <c r="F15" s="65" t="n">
        <v>85.16</v>
      </c>
      <c r="G15" s="65" t="n">
        <v>4.03</v>
      </c>
      <c r="H15" s="65" t="n">
        <v>-1.72</v>
      </c>
      <c r="I15" s="65" t="n"/>
      <c r="J15" s="11" t="n">
        <v>93.03</v>
      </c>
      <c r="K15" s="65" t="n">
        <v>87.33</v>
      </c>
      <c r="L15" s="65" t="n">
        <v>90.27</v>
      </c>
      <c r="M15" s="65" t="n">
        <v>5.7</v>
      </c>
      <c r="N15" s="65" t="n">
        <v>-1.41</v>
      </c>
      <c r="O15" s="11" t="n"/>
      <c r="P15" s="65" t="n">
        <v>84.86</v>
      </c>
      <c r="Q15" s="65" t="n">
        <v>68.08</v>
      </c>
      <c r="R15" s="65" t="n">
        <v>76.16</v>
      </c>
      <c r="S15" s="65" t="n">
        <v>16.78</v>
      </c>
      <c r="T15" s="11" t="n">
        <v>-7.81</v>
      </c>
      <c r="U15" s="65" t="n"/>
      <c r="V15" s="65" t="n">
        <v>97.87</v>
      </c>
      <c r="W15" s="65" t="n">
        <v>95.54000000000001</v>
      </c>
      <c r="X15" s="65" t="n">
        <v>96.45999999999999</v>
      </c>
      <c r="Y15" s="11" t="n">
        <v>2.33</v>
      </c>
      <c r="Z15" s="65" t="n">
        <v>-0.58</v>
      </c>
      <c r="AA15" s="65" t="n"/>
    </row>
    <row customHeight="1" ht="21.85" r="16" s="67" spans="1:35">
      <c r="A16" s="17" t="s">
        <v>30</v>
      </c>
      <c r="B16" s="65" t="n"/>
      <c r="C16" s="65" t="n"/>
      <c r="D16" s="65" t="n">
        <v>88.64</v>
      </c>
      <c r="E16" s="11" t="n">
        <v>83.8</v>
      </c>
      <c r="F16" s="65" t="n">
        <v>84.8</v>
      </c>
      <c r="G16" s="65" t="n">
        <v>4.84</v>
      </c>
      <c r="H16" s="65" t="n">
        <v>-2.52</v>
      </c>
      <c r="I16" s="65" t="n"/>
      <c r="J16" s="11" t="n">
        <v>93.03</v>
      </c>
      <c r="K16" s="65" t="n">
        <v>88.31999999999999</v>
      </c>
      <c r="L16" s="65" t="n">
        <v>90.42</v>
      </c>
      <c r="M16" s="65" t="n">
        <v>4.71</v>
      </c>
      <c r="N16" s="65" t="n">
        <v>-0.8</v>
      </c>
      <c r="O16" s="11" t="n"/>
      <c r="P16" s="65" t="n">
        <v>84.86</v>
      </c>
      <c r="Q16" s="65" t="n">
        <v>72.84999999999999</v>
      </c>
      <c r="R16" s="65" t="n">
        <v>77.89</v>
      </c>
      <c r="S16" s="65" t="n">
        <v>12.01</v>
      </c>
      <c r="T16" s="11" t="n">
        <v>-5.79</v>
      </c>
      <c r="U16" s="65" t="n"/>
      <c r="V16" s="65" t="n">
        <v>97.87</v>
      </c>
      <c r="W16" s="65" t="n">
        <v>95.7</v>
      </c>
      <c r="X16" s="65" t="n">
        <v>96.55</v>
      </c>
      <c r="Y16" s="11" t="n">
        <v>2.17</v>
      </c>
      <c r="Z16" s="65" t="n">
        <v>-0.28</v>
      </c>
      <c r="AA16" s="65" t="n"/>
    </row>
    <row customHeight="1" ht="21.85" r="17" s="67" spans="1:35">
      <c r="A17" s="17" t="s">
        <v>31</v>
      </c>
      <c r="B17" s="65" t="n"/>
      <c r="C17" s="65" t="n"/>
      <c r="D17" s="65" t="n">
        <v>88.64</v>
      </c>
      <c r="E17" s="11" t="n">
        <v>84.90000000000001</v>
      </c>
      <c r="F17" s="65" t="n">
        <v>85.23</v>
      </c>
      <c r="G17" s="65" t="n">
        <v>3.74</v>
      </c>
      <c r="H17" s="65" t="n">
        <v>-1.73</v>
      </c>
      <c r="I17" s="65" t="n"/>
      <c r="J17" s="11" t="n">
        <v>93.03</v>
      </c>
      <c r="K17" s="65" t="n">
        <v>87.69</v>
      </c>
      <c r="L17" s="65" t="n">
        <v>90.12</v>
      </c>
      <c r="M17" s="65" t="n">
        <v>5.34</v>
      </c>
      <c r="N17" s="65" t="n">
        <v>-1.24</v>
      </c>
      <c r="O17" s="11" t="n"/>
      <c r="P17" s="65" t="n">
        <v>84.86</v>
      </c>
      <c r="Q17" s="65" t="n">
        <v>72.81999999999999</v>
      </c>
      <c r="R17" s="65" t="n">
        <v>77.93000000000001</v>
      </c>
      <c r="S17" s="65" t="n">
        <v>12.04</v>
      </c>
      <c r="T17" s="11" t="n">
        <v>-4.52</v>
      </c>
      <c r="U17" s="65" t="n"/>
      <c r="V17" s="65" t="n">
        <v>97.87</v>
      </c>
      <c r="W17" s="65" t="n">
        <v>95.5</v>
      </c>
      <c r="X17" s="65" t="n">
        <v>96.45999999999999</v>
      </c>
      <c r="Y17" s="11" t="n">
        <v>2.37</v>
      </c>
      <c r="Z17" s="65" t="n">
        <v>-0.61</v>
      </c>
      <c r="AA17" s="65" t="n"/>
    </row>
    <row customHeight="1" ht="21.85" r="18" s="67" spans="1:35">
      <c r="A18" s="17" t="s">
        <v>32</v>
      </c>
      <c r="B18" s="65" t="n"/>
      <c r="C18" s="65" t="n"/>
      <c r="D18" s="65" t="n">
        <v>89.33</v>
      </c>
      <c r="E18" s="11" t="n">
        <v>86.17</v>
      </c>
      <c r="F18" s="65" t="n">
        <v>86.77818181818182</v>
      </c>
      <c r="G18" s="65">
        <f>D18-E18</f>
        <v/>
      </c>
      <c r="H18" s="65" t="n"/>
      <c r="I18" s="65" t="n"/>
      <c r="J18" s="11" t="n">
        <v>94.2</v>
      </c>
      <c r="K18" s="65" t="n">
        <v>88.45</v>
      </c>
      <c r="L18" s="65" t="n">
        <v>90.87222222222223</v>
      </c>
      <c r="M18" s="65">
        <f>J18-K18</f>
        <v/>
      </c>
      <c r="N18" s="65" t="n"/>
      <c r="O18" s="11" t="n"/>
      <c r="P18" s="65" t="n">
        <v>87.63</v>
      </c>
      <c r="Q18" s="65" t="n">
        <v>76.38</v>
      </c>
      <c r="R18" s="65" t="n">
        <v>80.75</v>
      </c>
      <c r="S18" s="65">
        <f>P18-Q18</f>
        <v/>
      </c>
      <c r="T18" s="11" t="n"/>
      <c r="U18" s="65" t="n"/>
      <c r="V18" s="65" t="n">
        <v>98.23</v>
      </c>
      <c r="W18" s="65" t="n">
        <v>95.70999999999999</v>
      </c>
      <c r="X18" s="65" t="n">
        <v>96.71666666666667</v>
      </c>
      <c r="Y18" s="11">
        <f>V18-W18</f>
        <v/>
      </c>
      <c r="Z18" s="65" t="n"/>
      <c r="AA18" s="65" t="n"/>
    </row>
    <row r="22" spans="1:35">
      <c r="M22" s="66" t="n"/>
      <c r="N22" s="66" t="n"/>
      <c r="O22" s="66" t="n"/>
      <c r="P22" s="66" t="n"/>
      <c r="Q22" s="66" t="n"/>
      <c r="R22" s="66" t="n"/>
      <c r="V22" s="66" t="n"/>
      <c r="W22" s="66" t="n"/>
      <c r="X22" s="66" t="n"/>
      <c r="Y22" s="66" t="n"/>
      <c r="Z22" s="66" t="n"/>
      <c r="AA22" s="66" t="n"/>
    </row>
    <row r="29" spans="1:35">
      <c r="M29" s="66" t="n"/>
      <c r="N29" s="66" t="n"/>
      <c r="O29" s="66" t="n"/>
      <c r="P29" s="66" t="n"/>
      <c r="Q29" s="66" t="n"/>
      <c r="R29" s="66" t="n"/>
      <c r="V29" s="66" t="n"/>
      <c r="W29" s="66" t="n"/>
      <c r="X29" s="66" t="n"/>
      <c r="Y29" s="66" t="n"/>
      <c r="Z29" s="66" t="n"/>
      <c r="AA29" s="66" t="n"/>
    </row>
  </sheetData>
  <mergeCells count="4">
    <mergeCell ref="D1:I1"/>
    <mergeCell ref="J1:O1"/>
    <mergeCell ref="P1:U1"/>
    <mergeCell ref="V1:A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E22" sqref="E22"/>
    </sheetView>
  </sheetViews>
  <sheetFormatPr baseColWidth="8" defaultColWidth="8.72972972972973" defaultRowHeight="14.1" outlineLevelCol="0"/>
  <cols>
    <col customWidth="1" max="1" min="1" style="67" width="28.1081081081081"/>
    <col customWidth="1" max="2" min="2" style="67" width="9"/>
    <col customWidth="1" max="3" min="3" style="67" width="10.1891891891892"/>
    <col customWidth="1" max="11" min="4" style="67" width="10.3603603603604"/>
    <col customWidth="1" hidden="1" max="13" min="12" style="67" width="10.3603603603604"/>
    <col customWidth="1" max="16" min="14" style="67" width="10.3603603603604"/>
    <col customWidth="1" hidden="1" max="17" min="17" style="67" width="10.3603603603604"/>
    <col customWidth="1" max="20" min="18" style="67" width="9.11711711711712"/>
    <col customWidth="1" max="22" min="21" style="67" width="8.72972972972973"/>
  </cols>
  <sheetData>
    <row customHeight="1" ht="41" r="1" s="67" spans="1:32">
      <c r="A1" s="1" t="s">
        <v>0</v>
      </c>
      <c r="B1" s="1" t="s">
        <v>1</v>
      </c>
      <c r="C1" s="1" t="s">
        <v>2</v>
      </c>
      <c r="D1" s="47" t="s">
        <v>3</v>
      </c>
      <c r="I1" s="47" t="s">
        <v>4</v>
      </c>
      <c r="N1" s="47" t="s">
        <v>5</v>
      </c>
      <c r="R1" s="47" t="s">
        <v>6</v>
      </c>
    </row>
    <row customHeight="1" ht="27.25" r="2" s="67" spans="1:32">
      <c r="A2" s="6" t="n"/>
      <c r="B2" s="7" t="n"/>
      <c r="C2" s="49" t="n"/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7</v>
      </c>
      <c r="O2" s="16" t="s">
        <v>8</v>
      </c>
      <c r="P2" s="16" t="s">
        <v>9</v>
      </c>
      <c r="Q2" s="16" t="s">
        <v>11</v>
      </c>
      <c r="R2" s="16" t="s">
        <v>7</v>
      </c>
      <c r="S2" s="16" t="s">
        <v>8</v>
      </c>
      <c r="T2" s="16" t="s">
        <v>9</v>
      </c>
      <c r="U2" s="16" t="s">
        <v>10</v>
      </c>
      <c r="V2" s="16" t="s">
        <v>11</v>
      </c>
    </row>
    <row customHeight="1" ht="27.25" r="3" s="67" spans="1:32">
      <c r="A3" s="9" t="s">
        <v>13</v>
      </c>
      <c r="B3" s="16" t="n"/>
      <c r="C3" s="53" t="n"/>
      <c r="D3" s="11" t="n">
        <v>88.90000000000001</v>
      </c>
      <c r="E3" s="11" t="n">
        <v>9.41</v>
      </c>
      <c r="F3" s="11" t="n">
        <v>15.53</v>
      </c>
      <c r="G3" s="11">
        <f>D3-E3</f>
        <v/>
      </c>
      <c r="H3" s="11" t="n"/>
      <c r="I3" s="11" t="n">
        <v>91.8</v>
      </c>
      <c r="J3" s="11" t="n">
        <v>40.28</v>
      </c>
      <c r="K3" s="11" t="n">
        <v>65.61</v>
      </c>
      <c r="L3" s="11">
        <f>I3-J3</f>
        <v/>
      </c>
      <c r="M3" s="11" t="n"/>
      <c r="N3" s="11" t="n">
        <v>82.95</v>
      </c>
      <c r="O3" s="11" t="n">
        <v>16.35</v>
      </c>
      <c r="P3" s="11" t="n">
        <v>36.39</v>
      </c>
      <c r="Q3" s="55" t="n"/>
      <c r="R3" s="11" t="n">
        <v>95.73</v>
      </c>
      <c r="S3" s="11" t="n">
        <v>63.81</v>
      </c>
      <c r="T3" s="11" t="n">
        <v>79.09</v>
      </c>
      <c r="U3" s="11">
        <f>R3-S3</f>
        <v/>
      </c>
      <c r="V3" s="11" t="n"/>
    </row>
    <row customHeight="1" ht="27.25" r="4" s="67" spans="1:32">
      <c r="A4" s="9" t="s">
        <v>14</v>
      </c>
      <c r="B4" s="16" t="n"/>
      <c r="C4" s="53" t="n"/>
      <c r="D4" s="16" t="n">
        <v>86.25</v>
      </c>
      <c r="E4" s="16" t="n">
        <v>76.29000000000001</v>
      </c>
      <c r="F4" s="16" t="n">
        <v>79.27</v>
      </c>
      <c r="G4" s="11">
        <f>D4-E4</f>
        <v/>
      </c>
      <c r="H4" s="16" t="n"/>
      <c r="I4" s="16" t="n">
        <v>76.92</v>
      </c>
      <c r="J4" s="16" t="n">
        <v>64.18000000000001</v>
      </c>
      <c r="K4" s="16" t="n">
        <v>69.54000000000001</v>
      </c>
      <c r="L4" s="11">
        <f>I4-J4</f>
        <v/>
      </c>
      <c r="M4" s="16" t="n"/>
      <c r="N4" s="11" t="n">
        <v>62.49</v>
      </c>
      <c r="O4" s="11" t="n">
        <v>50.93</v>
      </c>
      <c r="P4" s="11" t="n">
        <v>55.3</v>
      </c>
      <c r="Q4" s="55" t="n"/>
      <c r="R4" s="16" t="n">
        <v>94.98</v>
      </c>
      <c r="S4" s="16" t="n">
        <v>87.66</v>
      </c>
      <c r="T4" s="16" t="n">
        <v>91.05</v>
      </c>
      <c r="U4" s="11">
        <f>R4-S4</f>
        <v/>
      </c>
      <c r="V4" s="11" t="n"/>
    </row>
    <row customHeight="1" ht="27.25" r="5" s="67" spans="1:32">
      <c r="A5" s="9" t="s">
        <v>15</v>
      </c>
      <c r="B5" s="14" t="s">
        <v>16</v>
      </c>
      <c r="C5" s="52" t="n">
        <v>2022</v>
      </c>
      <c r="D5" s="14" t="n">
        <v>88.81</v>
      </c>
      <c r="E5" s="14" t="n">
        <v>47.29</v>
      </c>
      <c r="F5" s="14" t="n">
        <v>63.69</v>
      </c>
      <c r="G5" s="11">
        <f>D5-E5</f>
        <v/>
      </c>
      <c r="H5" s="14" t="n"/>
      <c r="I5" s="14" t="n">
        <v>92.13</v>
      </c>
      <c r="J5" s="14" t="n">
        <v>55.16</v>
      </c>
      <c r="K5" s="14" t="n">
        <v>71</v>
      </c>
      <c r="L5" s="11">
        <f>I5-J5</f>
        <v/>
      </c>
      <c r="M5" s="14" t="n"/>
      <c r="N5" s="11" t="n">
        <v>80.48999999999999</v>
      </c>
      <c r="O5" s="11" t="n">
        <v>43.12</v>
      </c>
      <c r="P5" s="11" t="n">
        <v>58.45</v>
      </c>
      <c r="Q5" s="55" t="n"/>
      <c r="R5" s="14" t="n">
        <v>96.92</v>
      </c>
      <c r="S5" s="14" t="n">
        <v>61.84</v>
      </c>
      <c r="T5" s="14" t="n">
        <v>76.29000000000001</v>
      </c>
      <c r="U5" s="11">
        <f>R5-S5</f>
        <v/>
      </c>
      <c r="V5" s="11" t="n"/>
    </row>
    <row customHeight="1" ht="27.25" r="6" s="67" spans="1:32">
      <c r="A6" s="9" t="s">
        <v>17</v>
      </c>
      <c r="B6" s="14" t="n"/>
      <c r="C6" s="52" t="n"/>
      <c r="D6" s="14" t="n">
        <v>89.58</v>
      </c>
      <c r="E6" s="14" t="n">
        <v>49.79</v>
      </c>
      <c r="F6" s="14" t="n">
        <v>65.97</v>
      </c>
      <c r="G6" s="11">
        <f>D6-E6</f>
        <v/>
      </c>
      <c r="H6" s="14" t="n"/>
      <c r="I6" s="14" t="n">
        <v>93.40000000000001</v>
      </c>
      <c r="J6" s="14" t="n">
        <v>56.11</v>
      </c>
      <c r="K6" s="14" t="n">
        <v>71.97</v>
      </c>
      <c r="L6" s="11">
        <f>I6-J6</f>
        <v/>
      </c>
      <c r="M6" s="14" t="n"/>
      <c r="N6" s="14" t="n">
        <v>82.03</v>
      </c>
      <c r="O6" s="14" t="n">
        <v>46.03</v>
      </c>
      <c r="P6" s="14" t="n">
        <v>60.3</v>
      </c>
      <c r="Q6" s="55" t="n"/>
      <c r="R6" s="14" t="n">
        <v>97.68000000000001</v>
      </c>
      <c r="S6" s="14" t="n">
        <v>64.17</v>
      </c>
      <c r="T6" s="14" t="n">
        <v>78.08</v>
      </c>
      <c r="U6" s="11">
        <f>R6-S6</f>
        <v/>
      </c>
      <c r="V6" s="14" t="n"/>
    </row>
    <row customHeight="1" ht="27.25" r="7" s="67" spans="1:32">
      <c r="A7" s="9" t="s">
        <v>18</v>
      </c>
      <c r="B7" s="14" t="s">
        <v>19</v>
      </c>
      <c r="C7" s="52" t="n">
        <v>2023</v>
      </c>
      <c r="D7" s="11" t="n">
        <v>89.33</v>
      </c>
      <c r="E7" s="11" t="n">
        <v>51.23</v>
      </c>
      <c r="F7" s="11" t="n">
        <v>67.19</v>
      </c>
      <c r="G7" s="11">
        <f>D7-E7</f>
        <v/>
      </c>
      <c r="H7" s="11" t="n"/>
      <c r="I7" s="11" t="n">
        <v>91.90000000000001</v>
      </c>
      <c r="J7" s="11" t="n">
        <v>56.84</v>
      </c>
      <c r="K7" s="11" t="n">
        <v>71.08</v>
      </c>
      <c r="L7" s="11">
        <f>I7-J7</f>
        <v/>
      </c>
      <c r="M7" s="11" t="n"/>
      <c r="N7" s="11" t="n">
        <v>78.61</v>
      </c>
      <c r="O7" s="11" t="n">
        <v>46.22</v>
      </c>
      <c r="P7" s="11" t="n">
        <v>59.98</v>
      </c>
      <c r="Q7" s="55" t="n"/>
      <c r="R7" s="11" t="n">
        <v>97.56999999999999</v>
      </c>
      <c r="S7" s="11" t="n">
        <v>67.59</v>
      </c>
      <c r="T7" s="11" t="n">
        <v>80.66</v>
      </c>
      <c r="U7" s="11">
        <f>R7-S7</f>
        <v/>
      </c>
      <c r="V7" s="11" t="n"/>
    </row>
    <row customHeight="1" ht="27.25" r="8" s="67" spans="1:32">
      <c r="A8" s="9" t="s">
        <v>20</v>
      </c>
      <c r="B8" s="14" t="s">
        <v>16</v>
      </c>
      <c r="C8" s="52" t="n">
        <v>2024</v>
      </c>
      <c r="D8" s="11" t="n">
        <v>91.12</v>
      </c>
      <c r="E8" s="11" t="n">
        <v>45.46</v>
      </c>
      <c r="F8" s="11" t="n">
        <v>64.56999999999999</v>
      </c>
      <c r="G8" s="11">
        <f>D8-E8</f>
        <v/>
      </c>
      <c r="H8" s="11" t="n"/>
      <c r="I8" s="11" t="n">
        <v>93.45</v>
      </c>
      <c r="J8" s="11" t="n">
        <v>56.07</v>
      </c>
      <c r="K8" s="11" t="n">
        <v>71.98</v>
      </c>
      <c r="L8" s="11">
        <f>I8-J8</f>
        <v/>
      </c>
      <c r="M8" s="11" t="n"/>
      <c r="N8" s="11" t="n">
        <v>85.78</v>
      </c>
      <c r="O8" s="11" t="n">
        <v>43.3</v>
      </c>
      <c r="P8" s="11" t="n">
        <v>60.95</v>
      </c>
      <c r="Q8" s="55" t="n"/>
      <c r="R8" s="11" t="n">
        <v>97.78</v>
      </c>
      <c r="S8" s="11" t="n">
        <v>58.6</v>
      </c>
      <c r="T8" s="11" t="n">
        <v>75.34</v>
      </c>
      <c r="U8" s="11">
        <f>R8-S8</f>
        <v/>
      </c>
      <c r="V8" s="11" t="n"/>
    </row>
    <row customHeight="1" ht="27.25" r="9" s="67" spans="1:32">
      <c r="A9" s="9" t="s">
        <v>21</v>
      </c>
      <c r="B9" s="16" t="s">
        <v>22</v>
      </c>
      <c r="C9" s="53" t="n">
        <v>2025</v>
      </c>
      <c r="D9" s="11" t="n">
        <v>89.5</v>
      </c>
      <c r="E9" s="11" t="n">
        <v>71.70999999999999</v>
      </c>
      <c r="F9" s="11" t="n">
        <v>77.06999999999999</v>
      </c>
      <c r="G9" s="11">
        <f>D9-E9</f>
        <v/>
      </c>
      <c r="H9" s="11" t="n"/>
      <c r="I9" s="11" t="n">
        <v>93.68000000000001</v>
      </c>
      <c r="J9" s="11" t="n">
        <v>72.92</v>
      </c>
      <c r="K9" s="11" t="n">
        <v>80.40000000000001</v>
      </c>
      <c r="L9" s="11">
        <f>I9-J9</f>
        <v/>
      </c>
      <c r="M9" s="11" t="n"/>
      <c r="N9" s="14" t="n">
        <v>84.93000000000001</v>
      </c>
      <c r="O9" s="14" t="n">
        <v>58.87</v>
      </c>
      <c r="P9" s="14" t="n">
        <v>63.31</v>
      </c>
      <c r="Q9" s="55" t="n"/>
      <c r="R9" s="11" t="n">
        <v>97.84999999999999</v>
      </c>
      <c r="S9" s="11" t="n">
        <v>89.37</v>
      </c>
      <c r="T9" s="11" t="n">
        <v>93.37</v>
      </c>
      <c r="U9" s="11">
        <f>R9-S9</f>
        <v/>
      </c>
      <c r="V9" s="14" t="n"/>
    </row>
    <row customHeight="1" ht="27.25" r="10" s="67" spans="1:32">
      <c r="A10" s="9" t="s">
        <v>23</v>
      </c>
      <c r="B10" s="14" t="s">
        <v>24</v>
      </c>
      <c r="C10" s="52" t="n">
        <v>2024</v>
      </c>
      <c r="D10" s="11" t="n">
        <v>92.17</v>
      </c>
      <c r="E10" s="11" t="n">
        <v>82.95</v>
      </c>
      <c r="F10" s="11" t="n">
        <v>86.68000000000001</v>
      </c>
      <c r="G10" s="11">
        <f>D10-E10</f>
        <v/>
      </c>
      <c r="H10" s="11" t="n"/>
      <c r="I10" s="11" t="n">
        <v>92.83</v>
      </c>
      <c r="J10" s="11" t="n">
        <v>86.39</v>
      </c>
      <c r="K10" s="11" t="n">
        <v>89.23</v>
      </c>
      <c r="L10" s="11">
        <f>I10-J10</f>
        <v/>
      </c>
      <c r="M10" s="11" t="n"/>
      <c r="N10" s="11" t="n">
        <v>81.51000000000001</v>
      </c>
      <c r="O10" s="11" t="n">
        <v>71.22</v>
      </c>
      <c r="P10" s="11" t="n">
        <v>75.45999999999999</v>
      </c>
      <c r="Q10" s="55" t="n"/>
      <c r="R10" s="11" t="n">
        <v>96.7</v>
      </c>
      <c r="S10" s="11" t="n">
        <v>93.92</v>
      </c>
      <c r="T10" s="11" t="n">
        <v>95.11</v>
      </c>
      <c r="U10" s="11">
        <f>R10-S10</f>
        <v/>
      </c>
      <c r="V10" s="11" t="n"/>
    </row>
    <row customHeight="1" ht="27.25" r="11" s="67" spans="1:32">
      <c r="A11" s="9" t="s">
        <v>33</v>
      </c>
      <c r="B11" s="14" t="n"/>
      <c r="C11" s="52" t="n"/>
      <c r="D11" s="11" t="n">
        <v>82.20999999999999</v>
      </c>
      <c r="E11" s="11" t="n">
        <v>75.08</v>
      </c>
      <c r="F11" s="11" t="n">
        <v>77.5</v>
      </c>
      <c r="G11" s="11">
        <f>D11-E11</f>
        <v/>
      </c>
      <c r="H11" s="11" t="n"/>
      <c r="I11" s="11" t="n">
        <v>90.88</v>
      </c>
      <c r="J11" s="11" t="n">
        <v>86.06</v>
      </c>
      <c r="K11" s="11" t="n">
        <v>88.08</v>
      </c>
      <c r="L11" s="11">
        <f>I11-J11</f>
        <v/>
      </c>
      <c r="M11" s="11" t="n"/>
      <c r="N11" s="14" t="n"/>
      <c r="O11" s="14" t="n"/>
      <c r="P11" s="14" t="n"/>
      <c r="Q11" s="55" t="n"/>
      <c r="R11" s="11" t="n">
        <v>96.68000000000001</v>
      </c>
      <c r="S11" s="11" t="n">
        <v>94.09999999999999</v>
      </c>
      <c r="T11" s="11" t="n">
        <v>95.27</v>
      </c>
      <c r="U11" s="11">
        <f>R11-S11</f>
        <v/>
      </c>
      <c r="V11" s="14" t="n"/>
    </row>
    <row customHeight="1" ht="27.25" r="12" s="67" spans="1:32">
      <c r="A12" s="9" t="s">
        <v>25</v>
      </c>
      <c r="B12" s="14" t="s">
        <v>16</v>
      </c>
      <c r="C12" s="52" t="n">
        <v>2025</v>
      </c>
      <c r="D12" s="11" t="n">
        <v>92.09</v>
      </c>
      <c r="E12" s="11" t="n">
        <v>83.8</v>
      </c>
      <c r="F12" s="11" t="n">
        <v>87.06</v>
      </c>
      <c r="G12" s="11">
        <f>D12-E12</f>
        <v/>
      </c>
      <c r="H12" s="11" t="n"/>
      <c r="I12" s="11" t="n">
        <v>92.33</v>
      </c>
      <c r="J12" s="11" t="n">
        <v>86.94</v>
      </c>
      <c r="K12" s="11" t="n">
        <v>89.20999999999999</v>
      </c>
      <c r="L12" s="11">
        <f>I12-J12</f>
        <v/>
      </c>
      <c r="M12" s="11" t="n"/>
      <c r="N12" s="11" t="n">
        <v>79.77</v>
      </c>
      <c r="O12" s="11" t="n">
        <v>70.84999999999999</v>
      </c>
      <c r="P12" s="11" t="n">
        <v>74.7</v>
      </c>
      <c r="Q12" s="55" t="n"/>
      <c r="R12" s="11" t="n">
        <v>96.7</v>
      </c>
      <c r="S12" s="11" t="n">
        <v>94.22</v>
      </c>
      <c r="T12" s="11" t="n">
        <v>95.16</v>
      </c>
      <c r="U12" s="11">
        <f>R12-S12</f>
        <v/>
      </c>
      <c r="V12" s="11" t="n"/>
    </row>
    <row customHeight="1" ht="27.25" r="13" s="67" spans="1:32">
      <c r="A13" s="9" t="s">
        <v>26</v>
      </c>
      <c r="B13" s="16" t="n"/>
      <c r="C13" s="53" t="n"/>
      <c r="D13" s="11" t="n">
        <v>92.34</v>
      </c>
      <c r="E13" s="11" t="n">
        <v>83.93000000000001</v>
      </c>
      <c r="F13" s="11" t="n">
        <v>87.16</v>
      </c>
      <c r="G13" s="11">
        <f>D13-E13</f>
        <v/>
      </c>
      <c r="H13" s="11" t="n">
        <v>-0.72</v>
      </c>
      <c r="I13" s="11" t="n">
        <v>94.18000000000001</v>
      </c>
      <c r="J13" s="11" t="n">
        <v>87.52</v>
      </c>
      <c r="K13" s="11" t="n">
        <v>90.27</v>
      </c>
      <c r="L13" s="11">
        <f>I13-J13</f>
        <v/>
      </c>
      <c r="M13" s="11" t="n">
        <v>-1.52</v>
      </c>
      <c r="N13" s="11" t="n">
        <v>85.48999999999999</v>
      </c>
      <c r="O13" s="11" t="n">
        <v>73.09999999999999</v>
      </c>
      <c r="P13" s="11" t="n">
        <v>78.09</v>
      </c>
      <c r="Q13" s="56" t="n">
        <v>-2.02</v>
      </c>
      <c r="R13" s="11" t="n">
        <v>97.47</v>
      </c>
      <c r="S13" s="11" t="n">
        <v>95.11</v>
      </c>
      <c r="T13" s="11" t="n">
        <v>96.05</v>
      </c>
      <c r="U13" s="11">
        <f>R13-S13</f>
        <v/>
      </c>
      <c r="V13" s="11" t="n">
        <v>-0.73</v>
      </c>
      <c r="W13" s="66" t="n"/>
      <c r="X13" s="66" t="n"/>
      <c r="Y13" s="66" t="n"/>
      <c r="Z13" s="66" t="n"/>
      <c r="AA13" s="66" t="n"/>
      <c r="AB13" s="66" t="n"/>
      <c r="AC13" s="66" t="n"/>
      <c r="AD13" s="66" t="n"/>
      <c r="AE13" s="66" t="n"/>
      <c r="AF13" s="66" t="n"/>
    </row>
    <row customHeight="1" ht="27.25" r="14" s="67" spans="1:32">
      <c r="A14" s="9" t="s">
        <v>27</v>
      </c>
      <c r="B14" s="16" t="n"/>
      <c r="C14" s="53" t="n"/>
      <c r="D14" s="11" t="n">
        <v>92.42</v>
      </c>
      <c r="E14" s="11" t="n">
        <v>83.12</v>
      </c>
      <c r="F14" s="11" t="n">
        <v>86.92</v>
      </c>
      <c r="G14" s="11">
        <f>D14-E14</f>
        <v/>
      </c>
      <c r="H14" s="11" t="n">
        <v>-1.85</v>
      </c>
      <c r="I14" s="11" t="n">
        <v>94.09999999999999</v>
      </c>
      <c r="J14" s="11" t="n">
        <v>87.98999999999999</v>
      </c>
      <c r="K14" s="11" t="n">
        <v>90.45999999999999</v>
      </c>
      <c r="L14" s="11">
        <f>I14-J14</f>
        <v/>
      </c>
      <c r="M14" s="11" t="n">
        <v>-1.23</v>
      </c>
      <c r="N14" s="11" t="n">
        <v>85.45999999999999</v>
      </c>
      <c r="O14" s="11" t="n">
        <v>73.09999999999999</v>
      </c>
      <c r="P14" s="11" t="n">
        <v>78.06999999999999</v>
      </c>
      <c r="Q14" s="56" t="n">
        <v>-1.95</v>
      </c>
      <c r="R14" s="11" t="n">
        <v>97.47</v>
      </c>
      <c r="S14" s="11" t="n">
        <v>95.34999999999999</v>
      </c>
      <c r="T14" s="11" t="n">
        <v>96.23999999999999</v>
      </c>
      <c r="U14" s="11">
        <f>R14-S14</f>
        <v/>
      </c>
      <c r="V14" s="11" t="n">
        <v>-0.8100000000000001</v>
      </c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</row>
    <row customHeight="1" ht="27.25" r="15" s="67" spans="1:32">
      <c r="A15" s="9" t="s">
        <v>32</v>
      </c>
      <c r="B15" s="16" t="n"/>
      <c r="C15" s="53" t="n"/>
      <c r="D15" s="11" t="n">
        <v>93.01000000000001</v>
      </c>
      <c r="E15" s="11" t="n">
        <v>84.86</v>
      </c>
      <c r="F15" s="11" t="n">
        <v>88.5</v>
      </c>
      <c r="G15" s="11">
        <f>D15-E15</f>
        <v/>
      </c>
      <c r="H15" s="11" t="n"/>
      <c r="I15" s="11" t="n">
        <v>95.28</v>
      </c>
      <c r="J15" s="11" t="n">
        <v>88.45</v>
      </c>
      <c r="K15" s="11" t="n">
        <v>91.50222222222222</v>
      </c>
      <c r="L15" s="11">
        <f>I15-J15</f>
        <v/>
      </c>
      <c r="M15" s="11" t="n"/>
      <c r="N15" s="11" t="n">
        <v>87.3</v>
      </c>
      <c r="O15" s="11" t="n">
        <v>77</v>
      </c>
      <c r="P15" s="11" t="n">
        <v>81.47909090909091</v>
      </c>
      <c r="Q15" s="56" t="n"/>
      <c r="R15" s="11" t="n">
        <v>97.83</v>
      </c>
      <c r="S15" s="11" t="n">
        <v>94.92</v>
      </c>
      <c r="T15" s="11" t="n">
        <v>96.13111111111112</v>
      </c>
      <c r="U15" s="11">
        <f>R15-S15</f>
        <v/>
      </c>
      <c r="V15" s="11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</row>
    <row customHeight="1" ht="27.25" r="16" s="67" spans="1:32">
      <c r="A16" s="31" t="s">
        <v>34</v>
      </c>
      <c r="B16" s="32" t="n"/>
      <c r="C16" s="32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5" t="n"/>
      <c r="Q16" s="58" t="n"/>
      <c r="R16" s="33" t="n"/>
      <c r="S16" s="33" t="n"/>
      <c r="T16" s="33" t="n"/>
      <c r="U16" s="33" t="n"/>
      <c r="V16" s="33" t="n"/>
    </row>
  </sheetData>
  <autoFilter ref="A1:P15"/>
  <mergeCells count="4">
    <mergeCell ref="D1:H1"/>
    <mergeCell ref="I1:M1"/>
    <mergeCell ref="N1:Q1"/>
    <mergeCell ref="R1:V1"/>
  </mergeCells>
  <conditionalFormatting sqref="D13">
    <cfRule dxfId="0" priority="50" rank="2" type="top10"/>
  </conditionalFormatting>
  <conditionalFormatting sqref="E13">
    <cfRule dxfId="0" priority="7" rank="2" type="top10"/>
  </conditionalFormatting>
  <conditionalFormatting sqref="F13">
    <cfRule dxfId="0" priority="10" rank="2" type="top10"/>
  </conditionalFormatting>
  <conditionalFormatting sqref="I13">
    <cfRule dxfId="0" priority="47" rank="2" type="top10"/>
  </conditionalFormatting>
  <conditionalFormatting sqref="J13">
    <cfRule dxfId="0" priority="46" rank="2" type="top10"/>
  </conditionalFormatting>
  <conditionalFormatting sqref="K13">
    <cfRule dxfId="0" priority="45" rank="2" type="top10"/>
  </conditionalFormatting>
  <conditionalFormatting sqref="N13">
    <cfRule dxfId="0" priority="41" rank="2" type="top10"/>
  </conditionalFormatting>
  <conditionalFormatting sqref="O13">
    <cfRule dxfId="0" priority="40" rank="2" type="top10"/>
  </conditionalFormatting>
  <conditionalFormatting sqref="P13">
    <cfRule dxfId="0" priority="39" rank="2" type="top10"/>
  </conditionalFormatting>
  <conditionalFormatting sqref="R13">
    <cfRule dxfId="0" priority="44" rank="2" type="top10"/>
  </conditionalFormatting>
  <conditionalFormatting sqref="S13">
    <cfRule dxfId="0" priority="43" rank="2" type="top10"/>
  </conditionalFormatting>
  <conditionalFormatting sqref="T13">
    <cfRule dxfId="0" priority="42" rank="2" type="top10"/>
  </conditionalFormatting>
  <conditionalFormatting sqref="D14">
    <cfRule dxfId="0" priority="38" rank="2" type="top10"/>
  </conditionalFormatting>
  <conditionalFormatting sqref="E14">
    <cfRule dxfId="0" priority="37" rank="2" type="top10"/>
  </conditionalFormatting>
  <conditionalFormatting sqref="F14">
    <cfRule dxfId="0" priority="36" rank="2" type="top10"/>
  </conditionalFormatting>
  <conditionalFormatting sqref="I14">
    <cfRule dxfId="0" priority="35" rank="2" type="top10"/>
  </conditionalFormatting>
  <conditionalFormatting sqref="J14">
    <cfRule dxfId="0" priority="34" rank="2" type="top10"/>
  </conditionalFormatting>
  <conditionalFormatting sqref="K14">
    <cfRule dxfId="0" priority="33" rank="2" type="top10"/>
  </conditionalFormatting>
  <conditionalFormatting sqref="N14">
    <cfRule dxfId="0" priority="29" rank="2" type="top10"/>
  </conditionalFormatting>
  <conditionalFormatting sqref="O14">
    <cfRule dxfId="0" priority="28" rank="2" type="top10"/>
  </conditionalFormatting>
  <conditionalFormatting sqref="P14">
    <cfRule dxfId="0" priority="27" rank="2" type="top10"/>
  </conditionalFormatting>
  <conditionalFormatting sqref="R14">
    <cfRule dxfId="0" priority="32" rank="2" type="top10"/>
  </conditionalFormatting>
  <conditionalFormatting sqref="S14">
    <cfRule dxfId="0" priority="31" rank="2" type="top10"/>
  </conditionalFormatting>
  <conditionalFormatting sqref="T14">
    <cfRule dxfId="0" priority="30" rank="2" type="top10"/>
  </conditionalFormatting>
  <conditionalFormatting sqref="N3:N12">
    <cfRule dxfId="1" priority="91" rank="1" type="top10"/>
    <cfRule dxfId="2" priority="92" rank="1" type="top10"/>
    <cfRule dxfId="3" priority="93" rank="1" type="top10"/>
    <cfRule dxfId="4" priority="94" rank="1" type="top10"/>
    <cfRule dxfId="5" priority="95" rank="1" type="top10"/>
    <cfRule dxfId="6" priority="96" rank="1" type="top10"/>
  </conditionalFormatting>
  <conditionalFormatting sqref="O3:O12">
    <cfRule dxfId="1" priority="85" rank="1" type="top10"/>
    <cfRule dxfId="2" priority="86" rank="1" type="top10"/>
    <cfRule dxfId="3" priority="87" rank="1" type="top10"/>
    <cfRule dxfId="4" priority="88" rank="1" type="top10"/>
    <cfRule dxfId="5" priority="89" rank="1" type="top10"/>
    <cfRule dxfId="6" priority="90" rank="1" type="top10"/>
  </conditionalFormatting>
  <conditionalFormatting sqref="D3 D5:D12">
    <cfRule dxfId="1" priority="145" rank="1" type="top10"/>
    <cfRule dxfId="2" priority="146" rank="1" type="top10"/>
    <cfRule dxfId="3" priority="147" rank="1" type="top10"/>
    <cfRule dxfId="4" priority="148" rank="1" type="top10"/>
    <cfRule dxfId="5" priority="149" rank="1" type="top10"/>
    <cfRule dxfId="6" priority="176" rank="1" type="top10"/>
  </conditionalFormatting>
  <conditionalFormatting sqref="E3 E5:E12">
    <cfRule dxfId="1" priority="139" rank="1" type="top10"/>
    <cfRule dxfId="2" priority="140" rank="1" type="top10"/>
    <cfRule dxfId="3" priority="141" rank="1" type="top10"/>
    <cfRule dxfId="4" priority="142" rank="1" type="top10"/>
    <cfRule dxfId="5" priority="143" rank="1" type="top10"/>
    <cfRule dxfId="6" priority="144" rank="1" type="top10"/>
  </conditionalFormatting>
  <conditionalFormatting sqref="F3:H3 G4:H4 F5:H12 G13:H14">
    <cfRule dxfId="1" priority="133" rank="1" type="top10"/>
    <cfRule dxfId="2" priority="134" rank="1" type="top10"/>
    <cfRule dxfId="3" priority="135" rank="1" type="top10"/>
    <cfRule dxfId="4" priority="136" rank="1" type="top10"/>
    <cfRule dxfId="5" priority="137" rank="1" type="top10"/>
    <cfRule dxfId="6" priority="138" rank="1" type="top10"/>
  </conditionalFormatting>
  <conditionalFormatting sqref="I3 I5:I12">
    <cfRule dxfId="1" priority="127" rank="1" type="top10"/>
    <cfRule dxfId="2" priority="128" rank="1" type="top10"/>
    <cfRule dxfId="3" priority="129" rank="1" type="top10"/>
    <cfRule dxfId="4" priority="130" rank="1" type="top10"/>
    <cfRule dxfId="5" priority="131" rank="1" type="top10"/>
    <cfRule dxfId="6" priority="132" rank="1" type="top10"/>
  </conditionalFormatting>
  <conditionalFormatting sqref="J3 J5:J12">
    <cfRule dxfId="1" priority="121" rank="1" type="top10"/>
    <cfRule dxfId="2" priority="122" rank="1" type="top10"/>
    <cfRule dxfId="3" priority="123" rank="1" type="top10"/>
    <cfRule dxfId="4" priority="124" rank="1" type="top10"/>
    <cfRule dxfId="5" priority="125" rank="1" type="top10"/>
    <cfRule dxfId="6" priority="126" rank="1" type="top10"/>
  </conditionalFormatting>
  <conditionalFormatting sqref="K3:M3 L4:M4 K5:M12 L13:M14">
    <cfRule dxfId="1" priority="115" rank="1" type="top10"/>
    <cfRule dxfId="2" priority="116" rank="1" type="top10"/>
    <cfRule dxfId="3" priority="117" rank="1" type="top10"/>
    <cfRule dxfId="4" priority="118" rank="1" type="top10"/>
    <cfRule dxfId="5" priority="119" rank="1" type="top10"/>
    <cfRule dxfId="6" priority="120" rank="1" type="top10"/>
  </conditionalFormatting>
  <conditionalFormatting sqref="P3:Q12">
    <cfRule dxfId="1" priority="79" rank="1" type="top10"/>
    <cfRule dxfId="2" priority="80" rank="1" type="top10"/>
    <cfRule dxfId="3" priority="81" rank="1" type="top10"/>
    <cfRule dxfId="4" priority="82" rank="1" type="top10"/>
    <cfRule dxfId="5" priority="83" rank="1" type="top10"/>
    <cfRule dxfId="6" priority="84" rank="1" type="top10"/>
  </conditionalFormatting>
  <conditionalFormatting sqref="R3 R5:R12">
    <cfRule dxfId="1" priority="109" rank="1" type="top10"/>
    <cfRule dxfId="2" priority="110" rank="1" type="top10"/>
    <cfRule dxfId="3" priority="111" rank="1" type="top10"/>
    <cfRule dxfId="4" priority="112" rank="1" type="top10"/>
    <cfRule dxfId="5" priority="113" rank="1" type="top10"/>
    <cfRule dxfId="6" priority="114" rank="1" type="top10"/>
  </conditionalFormatting>
  <conditionalFormatting sqref="S3 S5:S12">
    <cfRule dxfId="1" priority="103" rank="1" type="top10"/>
    <cfRule dxfId="2" priority="104" rank="1" type="top10"/>
    <cfRule dxfId="3" priority="105" rank="1" type="top10"/>
    <cfRule dxfId="4" priority="106" rank="1" type="top10"/>
    <cfRule dxfId="5" priority="107" rank="1" type="top10"/>
    <cfRule dxfId="6" priority="108" rank="1" type="top10"/>
  </conditionalFormatting>
  <conditionalFormatting sqref="T3:V3 U4:V4 T5:V12 U13:V14">
    <cfRule dxfId="1" priority="97" rank="1" type="top10"/>
    <cfRule dxfId="2" priority="98" rank="1" type="top10"/>
    <cfRule dxfId="3" priority="99" rank="1" type="top10"/>
    <cfRule dxfId="4" priority="100" rank="1" type="top10"/>
    <cfRule dxfId="5" priority="101" rank="1" type="top10"/>
    <cfRule dxfId="6" priority="102" rank="1" type="top10"/>
  </conditionalFormatting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E20" sqref="E20"/>
    </sheetView>
  </sheetViews>
  <sheetFormatPr baseColWidth="8" defaultColWidth="8.72972972972973" defaultRowHeight="14.1" outlineLevelCol="0"/>
  <cols>
    <col customWidth="1" max="1" min="1" style="67" width="35.3603603603604"/>
    <col customWidth="1" hidden="1" max="2" min="2" style="67" width="9"/>
    <col customWidth="1" hidden="1" max="3" min="3" style="67" width="11.4504504504505"/>
    <col customWidth="1" max="6" min="4" style="67" width="10.3603603603604"/>
    <col customWidth="1" hidden="1" max="8" min="7" style="67" width="10.3603603603604"/>
    <col customWidth="1" max="11" min="9" style="67" width="10.3603603603604"/>
    <col customWidth="1" hidden="1" max="13" min="12" style="67" width="10.3603603603604"/>
    <col customWidth="1" max="16" min="14" style="67" width="10.3603603603604"/>
    <col customWidth="1" hidden="1" max="17" min="17" style="67" width="10.3603603603604"/>
    <col customWidth="1" max="20" min="18" style="67" width="9.11711711711712"/>
    <col customWidth="1" hidden="1" max="22" min="21" style="67" width="8.72972972972973"/>
  </cols>
  <sheetData>
    <row customHeight="1" ht="41" r="1" s="67" spans="1:32">
      <c r="A1" s="1" t="s">
        <v>0</v>
      </c>
      <c r="B1" s="1" t="s">
        <v>1</v>
      </c>
      <c r="C1" s="1" t="s">
        <v>2</v>
      </c>
      <c r="D1" s="47" t="s">
        <v>3</v>
      </c>
      <c r="I1" s="47" t="s">
        <v>4</v>
      </c>
      <c r="N1" s="47" t="s">
        <v>5</v>
      </c>
      <c r="R1" s="47" t="s">
        <v>6</v>
      </c>
    </row>
    <row customHeight="1" ht="27.25" r="2" s="67" spans="1:32">
      <c r="A2" s="6" t="n"/>
      <c r="B2" s="7" t="n"/>
      <c r="C2" s="49" t="n"/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7</v>
      </c>
      <c r="O2" s="16" t="s">
        <v>8</v>
      </c>
      <c r="P2" s="16" t="s">
        <v>9</v>
      </c>
      <c r="Q2" s="16" t="s">
        <v>11</v>
      </c>
      <c r="R2" s="16" t="s">
        <v>7</v>
      </c>
      <c r="S2" s="16" t="s">
        <v>8</v>
      </c>
      <c r="T2" s="16" t="s">
        <v>9</v>
      </c>
      <c r="U2" s="16" t="s">
        <v>10</v>
      </c>
      <c r="V2" s="16" t="s">
        <v>11</v>
      </c>
    </row>
    <row customHeight="1" ht="27.25" r="3" s="67" spans="1:32">
      <c r="A3" s="9" t="s">
        <v>13</v>
      </c>
      <c r="B3" s="16" t="n"/>
      <c r="C3" s="53" t="n"/>
      <c r="D3" s="11" t="n">
        <v>89.77</v>
      </c>
      <c r="E3" s="11" t="n">
        <v>9.58</v>
      </c>
      <c r="F3" s="11" t="n">
        <v>28.43</v>
      </c>
      <c r="G3" s="11">
        <f>D3-E3</f>
        <v/>
      </c>
      <c r="H3" s="11" t="n"/>
      <c r="I3" s="11" t="n">
        <v>92.7</v>
      </c>
      <c r="J3" s="11" t="n">
        <v>34.03</v>
      </c>
      <c r="K3" s="11" t="n">
        <v>62.46</v>
      </c>
      <c r="L3" s="11">
        <f>I3-J3</f>
        <v/>
      </c>
      <c r="M3" s="11" t="n"/>
      <c r="N3" s="11" t="n">
        <v>83.23</v>
      </c>
      <c r="O3" s="11" t="n">
        <v>10.53</v>
      </c>
      <c r="P3" s="11" t="n">
        <v>23.27</v>
      </c>
      <c r="Q3" s="55" t="n"/>
      <c r="R3" s="11" t="n">
        <v>96.05</v>
      </c>
      <c r="S3" s="11" t="n">
        <v>70.53</v>
      </c>
      <c r="T3" s="11" t="n">
        <v>81.13</v>
      </c>
      <c r="U3" s="11">
        <f>R3-S3</f>
        <v/>
      </c>
      <c r="V3" s="11" t="n"/>
    </row>
    <row customHeight="1" ht="27.25" r="4" s="67" spans="1:32">
      <c r="A4" s="9" t="s">
        <v>14</v>
      </c>
      <c r="B4" s="16" t="n"/>
      <c r="C4" s="53" t="n"/>
      <c r="D4" s="16" t="n">
        <v>89.86</v>
      </c>
      <c r="E4" s="16" t="n">
        <v>74</v>
      </c>
      <c r="F4" s="16" t="n">
        <v>80.75</v>
      </c>
      <c r="G4" s="11">
        <f>D4-E4</f>
        <v/>
      </c>
      <c r="H4" s="16" t="n"/>
      <c r="I4" s="16" t="n">
        <v>79.83</v>
      </c>
      <c r="J4" s="16" t="n">
        <v>64.15000000000001</v>
      </c>
      <c r="K4" s="16" t="n">
        <v>70.52</v>
      </c>
      <c r="L4" s="11">
        <f>I4-J4</f>
        <v/>
      </c>
      <c r="M4" s="16" t="n"/>
      <c r="N4" s="11" t="n">
        <v>64.56999999999999</v>
      </c>
      <c r="O4" s="11" t="n">
        <v>49.42</v>
      </c>
      <c r="P4" s="11" t="n">
        <v>54.92</v>
      </c>
      <c r="Q4" s="55" t="n"/>
      <c r="R4" s="16" t="n">
        <v>95.25</v>
      </c>
      <c r="S4" s="16" t="n">
        <v>86.43000000000001</v>
      </c>
      <c r="T4" s="16" t="n">
        <v>90.13</v>
      </c>
      <c r="U4" s="11">
        <f>R4-S4</f>
        <v/>
      </c>
      <c r="V4" s="11" t="n"/>
    </row>
    <row customHeight="1" ht="27.25" r="5" s="67" spans="1:32">
      <c r="A5" s="9" t="s">
        <v>15</v>
      </c>
      <c r="B5" s="14" t="s">
        <v>16</v>
      </c>
      <c r="C5" s="52" t="n">
        <v>2022</v>
      </c>
      <c r="D5" s="14" t="n">
        <v>92.5</v>
      </c>
      <c r="E5" s="14" t="n">
        <v>48.3</v>
      </c>
      <c r="F5" s="14" t="n">
        <v>65.67</v>
      </c>
      <c r="G5" s="11">
        <f>D5-E5</f>
        <v/>
      </c>
      <c r="H5" s="14" t="n"/>
      <c r="I5" s="14" t="n">
        <v>93.25</v>
      </c>
      <c r="J5" s="14" t="n">
        <v>55.7</v>
      </c>
      <c r="K5" s="14" t="n">
        <v>71.68000000000001</v>
      </c>
      <c r="L5" s="11">
        <f>I5-J5</f>
        <v/>
      </c>
      <c r="M5" s="14" t="n"/>
      <c r="N5" s="11" t="n">
        <v>80.18000000000001</v>
      </c>
      <c r="O5" s="11" t="n">
        <v>40.07</v>
      </c>
      <c r="P5" s="11" t="n">
        <v>55.58</v>
      </c>
      <c r="Q5" s="55" t="n"/>
      <c r="R5" s="14" t="n">
        <v>97.34999999999999</v>
      </c>
      <c r="S5" s="14" t="n">
        <v>61.74</v>
      </c>
      <c r="T5" s="14" t="n">
        <v>77.31</v>
      </c>
      <c r="U5" s="11">
        <f>R5-S5</f>
        <v/>
      </c>
      <c r="V5" s="11" t="n"/>
    </row>
    <row customHeight="1" ht="27.25" r="6" s="67" spans="1:32">
      <c r="A6" s="9" t="s">
        <v>17</v>
      </c>
      <c r="B6" s="14" t="n"/>
      <c r="C6" s="52" t="n"/>
      <c r="D6" s="14" t="n">
        <v>93.39</v>
      </c>
      <c r="E6" s="14" t="n">
        <v>49.96</v>
      </c>
      <c r="F6" s="14" t="n">
        <v>67.14</v>
      </c>
      <c r="G6" s="11">
        <f>D6-E6</f>
        <v/>
      </c>
      <c r="H6" s="14" t="n"/>
      <c r="I6" s="14" t="n">
        <v>93.8</v>
      </c>
      <c r="J6" s="14" t="n">
        <v>56.34</v>
      </c>
      <c r="K6" s="14" t="n">
        <v>72.25</v>
      </c>
      <c r="L6" s="11">
        <f>I6-J6</f>
        <v/>
      </c>
      <c r="M6" s="14" t="n"/>
      <c r="N6" s="14" t="n">
        <v>81.76000000000001</v>
      </c>
      <c r="O6" s="14" t="n">
        <v>44.07</v>
      </c>
      <c r="P6" s="14" t="n">
        <v>58.13</v>
      </c>
      <c r="Q6" s="55" t="n"/>
      <c r="R6" s="14" t="n">
        <v>97.77</v>
      </c>
      <c r="S6" s="14" t="n">
        <v>63.77</v>
      </c>
      <c r="T6" s="14" t="n">
        <v>77.79000000000001</v>
      </c>
      <c r="U6" s="11">
        <f>R6-S6</f>
        <v/>
      </c>
      <c r="V6" s="14" t="n"/>
    </row>
    <row customHeight="1" ht="27.25" r="7" s="67" spans="1:32">
      <c r="A7" s="9" t="s">
        <v>18</v>
      </c>
      <c r="B7" s="14" t="s">
        <v>19</v>
      </c>
      <c r="C7" s="52" t="n">
        <v>2023</v>
      </c>
      <c r="D7" s="11" t="n">
        <v>93.3</v>
      </c>
      <c r="E7" s="11" t="n">
        <v>50.81</v>
      </c>
      <c r="F7" s="11" t="n">
        <v>67.65000000000001</v>
      </c>
      <c r="G7" s="11">
        <f>D7-E7</f>
        <v/>
      </c>
      <c r="H7" s="11" t="n"/>
      <c r="I7" s="11" t="n">
        <v>93.05</v>
      </c>
      <c r="J7" s="11" t="n">
        <v>56.25</v>
      </c>
      <c r="K7" s="11" t="n">
        <v>72.04000000000001</v>
      </c>
      <c r="L7" s="11">
        <f>I7-J7</f>
        <v/>
      </c>
      <c r="M7" s="11" t="n"/>
      <c r="N7" s="11" t="n">
        <v>79.05</v>
      </c>
      <c r="O7" s="11" t="n">
        <v>43.02</v>
      </c>
      <c r="P7" s="11" t="n">
        <v>56.82</v>
      </c>
      <c r="Q7" s="55" t="n"/>
      <c r="R7" s="11" t="n">
        <v>97.47</v>
      </c>
      <c r="S7" s="11" t="n">
        <v>66.08</v>
      </c>
      <c r="T7" s="11" t="n">
        <v>79.48</v>
      </c>
      <c r="U7" s="11">
        <f>R7-S7</f>
        <v/>
      </c>
      <c r="V7" s="11" t="n"/>
    </row>
    <row customHeight="1" ht="27.25" r="8" s="67" spans="1:32">
      <c r="A8" s="9" t="s">
        <v>20</v>
      </c>
      <c r="B8" s="14" t="s">
        <v>16</v>
      </c>
      <c r="C8" s="52" t="n">
        <v>2024</v>
      </c>
      <c r="D8" s="11" t="n">
        <v>93.12</v>
      </c>
      <c r="E8" s="11" t="n">
        <v>44.74</v>
      </c>
      <c r="F8" s="11" t="n">
        <v>64.54000000000001</v>
      </c>
      <c r="G8" s="11">
        <f>D8-E8</f>
        <v/>
      </c>
      <c r="H8" s="11" t="n"/>
      <c r="I8" s="11" t="n">
        <v>94.73</v>
      </c>
      <c r="J8" s="11" t="n">
        <v>56.79</v>
      </c>
      <c r="K8" s="11" t="n">
        <v>72.98</v>
      </c>
      <c r="L8" s="11">
        <f>I8-J8</f>
        <v/>
      </c>
      <c r="M8" s="11" t="n"/>
      <c r="N8" s="11" t="n">
        <v>84.84</v>
      </c>
      <c r="O8" s="11" t="n">
        <v>41.32</v>
      </c>
      <c r="P8" s="11" t="n">
        <v>58.07</v>
      </c>
      <c r="Q8" s="55" t="n"/>
      <c r="R8" s="11" t="n">
        <v>97.95</v>
      </c>
      <c r="S8" s="11" t="n">
        <v>58.65</v>
      </c>
      <c r="T8" s="11" t="n">
        <v>75.39</v>
      </c>
      <c r="U8" s="11">
        <f>R8-S8</f>
        <v/>
      </c>
      <c r="V8" s="11" t="n"/>
    </row>
    <row customHeight="1" ht="27.25" r="9" s="67" spans="1:32">
      <c r="A9" s="9" t="s">
        <v>21</v>
      </c>
      <c r="B9" s="16" t="s">
        <v>22</v>
      </c>
      <c r="C9" s="53" t="n">
        <v>2025</v>
      </c>
      <c r="D9" s="11" t="n">
        <v>93.3</v>
      </c>
      <c r="E9" s="11" t="n">
        <v>59.37</v>
      </c>
      <c r="F9" s="11" t="n">
        <v>71.02</v>
      </c>
      <c r="G9" s="11">
        <f>D9-E9</f>
        <v/>
      </c>
      <c r="H9" s="11" t="n"/>
      <c r="I9" s="11" t="n">
        <v>95.12</v>
      </c>
      <c r="J9" s="11" t="n">
        <v>75.18000000000001</v>
      </c>
      <c r="K9" s="11" t="n">
        <v>82.36</v>
      </c>
      <c r="L9" s="11">
        <f>I9-J9</f>
        <v/>
      </c>
      <c r="M9" s="11" t="n"/>
      <c r="N9" s="14" t="n">
        <v>83.84999999999999</v>
      </c>
      <c r="O9" s="14" t="n">
        <v>50.67</v>
      </c>
      <c r="P9" s="14" t="n">
        <v>56.58</v>
      </c>
      <c r="Q9" s="55" t="n"/>
      <c r="R9" s="11" t="n">
        <v>98.12</v>
      </c>
      <c r="S9" s="11" t="n">
        <v>83.62</v>
      </c>
      <c r="T9" s="11" t="n">
        <v>86.2</v>
      </c>
      <c r="U9" s="11">
        <f>R9-S9</f>
        <v/>
      </c>
      <c r="V9" s="14" t="n"/>
    </row>
    <row customHeight="1" ht="27.25" r="10" s="67" spans="1:32">
      <c r="A10" s="17" t="s">
        <v>35</v>
      </c>
      <c r="B10" s="19" t="s">
        <v>19</v>
      </c>
      <c r="C10" s="54" t="n">
        <v>2023</v>
      </c>
      <c r="D10" s="65" t="n">
        <v>80.20999999999999</v>
      </c>
      <c r="E10" s="65" t="n">
        <v>63.32</v>
      </c>
      <c r="F10" s="65" t="n">
        <v>69.37</v>
      </c>
      <c r="G10" s="11">
        <f>D10-E10</f>
        <v/>
      </c>
      <c r="H10" s="65" t="n"/>
      <c r="I10" s="65" t="n">
        <v>88.31999999999999</v>
      </c>
      <c r="J10" s="65" t="n">
        <v>79.98999999999999</v>
      </c>
      <c r="K10" s="65" t="n">
        <v>83.38</v>
      </c>
      <c r="L10" s="11">
        <f>I10-J10</f>
        <v/>
      </c>
      <c r="M10" s="65" t="n"/>
      <c r="N10" s="29" t="n"/>
      <c r="O10" s="29" t="n"/>
      <c r="P10" s="29" t="n"/>
      <c r="Q10" s="55" t="n"/>
      <c r="R10" s="65" t="n">
        <v>90.14</v>
      </c>
      <c r="S10" s="65" t="n">
        <v>81.55</v>
      </c>
      <c r="T10" s="65" t="n">
        <v>85.54000000000001</v>
      </c>
      <c r="U10" s="11">
        <f>R10-S10</f>
        <v/>
      </c>
      <c r="V10" s="29" t="n"/>
    </row>
    <row customHeight="1" ht="27.25" r="11" s="67" spans="1:32">
      <c r="A11" s="9" t="s">
        <v>23</v>
      </c>
      <c r="B11" s="14" t="s">
        <v>24</v>
      </c>
      <c r="C11" s="52" t="n">
        <v>2024</v>
      </c>
      <c r="D11" s="11" t="n">
        <v>92.23999999999999</v>
      </c>
      <c r="E11" s="11" t="n">
        <v>82.65000000000001</v>
      </c>
      <c r="F11" s="11" t="n">
        <v>87.69</v>
      </c>
      <c r="G11" s="11">
        <f>D11-E11</f>
        <v/>
      </c>
      <c r="H11" s="11" t="n"/>
      <c r="I11" s="11" t="n">
        <v>93.40000000000001</v>
      </c>
      <c r="J11" s="11" t="n">
        <v>85.48999999999999</v>
      </c>
      <c r="K11" s="11" t="n">
        <v>89.01000000000001</v>
      </c>
      <c r="L11" s="11">
        <f>I11-J11</f>
        <v/>
      </c>
      <c r="M11" s="11" t="n"/>
      <c r="N11" s="11" t="n">
        <v>81.17</v>
      </c>
      <c r="O11" s="11" t="n">
        <v>71</v>
      </c>
      <c r="P11" s="11" t="n">
        <v>74.84999999999999</v>
      </c>
      <c r="Q11" s="55" t="n"/>
      <c r="R11" s="11" t="n">
        <v>96.59999999999999</v>
      </c>
      <c r="S11" s="11" t="n">
        <v>93.86</v>
      </c>
      <c r="T11" s="11" t="n">
        <v>94.77</v>
      </c>
      <c r="U11" s="11">
        <f>R11-S11</f>
        <v/>
      </c>
      <c r="V11" s="11" t="n"/>
    </row>
    <row customHeight="1" ht="27.25" r="12" s="67" spans="1:32">
      <c r="A12" s="9" t="s">
        <v>33</v>
      </c>
      <c r="B12" s="14" t="n"/>
      <c r="C12" s="52" t="n"/>
      <c r="D12" s="11" t="n">
        <v>82.20999999999999</v>
      </c>
      <c r="E12" s="11" t="n">
        <v>75.08</v>
      </c>
      <c r="F12" s="11" t="n">
        <v>77.5</v>
      </c>
      <c r="G12" s="11">
        <f>D12-E12</f>
        <v/>
      </c>
      <c r="H12" s="11" t="n"/>
      <c r="I12" s="11" t="n">
        <v>90.88</v>
      </c>
      <c r="J12" s="11" t="n">
        <v>86.06</v>
      </c>
      <c r="K12" s="11" t="n">
        <v>88.08</v>
      </c>
      <c r="L12" s="11">
        <f>I12-J12</f>
        <v/>
      </c>
      <c r="M12" s="11" t="n"/>
      <c r="N12" s="14" t="n"/>
      <c r="O12" s="14" t="n"/>
      <c r="P12" s="14" t="n"/>
      <c r="Q12" s="55" t="n"/>
      <c r="R12" s="11" t="n">
        <v>96.68000000000001</v>
      </c>
      <c r="S12" s="11" t="n">
        <v>94.09999999999999</v>
      </c>
      <c r="T12" s="11" t="n">
        <v>95.27</v>
      </c>
      <c r="U12" s="11">
        <f>R12-S12</f>
        <v/>
      </c>
      <c r="V12" s="14" t="n"/>
    </row>
    <row customHeight="1" ht="27.25" r="13" s="67" spans="1:32">
      <c r="A13" s="9" t="s">
        <v>25</v>
      </c>
      <c r="B13" s="14" t="s">
        <v>16</v>
      </c>
      <c r="C13" s="52" t="n">
        <v>2025</v>
      </c>
      <c r="D13" s="11" t="n">
        <v>92.95</v>
      </c>
      <c r="E13" s="11" t="n">
        <v>83.76000000000001</v>
      </c>
      <c r="F13" s="11" t="n">
        <v>88.62</v>
      </c>
      <c r="G13" s="11">
        <f>D13-E13</f>
        <v/>
      </c>
      <c r="H13" s="11" t="n"/>
      <c r="I13" s="11" t="n">
        <v>93.13</v>
      </c>
      <c r="J13" s="11" t="n">
        <v>87.01000000000001</v>
      </c>
      <c r="K13" s="11" t="n">
        <v>89.66</v>
      </c>
      <c r="L13" s="11">
        <f>I13-J13</f>
        <v/>
      </c>
      <c r="M13" s="11" t="n"/>
      <c r="N13" s="11" t="n">
        <v>83.16</v>
      </c>
      <c r="O13" s="11" t="n">
        <v>74.42</v>
      </c>
      <c r="P13" s="11" t="n">
        <v>77.56</v>
      </c>
      <c r="Q13" s="55" t="n"/>
      <c r="R13" s="11" t="n">
        <v>96.65000000000001</v>
      </c>
      <c r="S13" s="11" t="n">
        <v>94.52</v>
      </c>
      <c r="T13" s="11" t="n">
        <v>95.18000000000001</v>
      </c>
      <c r="U13" s="11">
        <f>R13-S13</f>
        <v/>
      </c>
      <c r="V13" s="11" t="n"/>
    </row>
    <row customHeight="1" ht="27.25" r="14" s="67" spans="1:32">
      <c r="A14" s="9" t="s">
        <v>26</v>
      </c>
      <c r="B14" s="16" t="n"/>
      <c r="C14" s="53" t="n"/>
      <c r="D14" s="11" t="n">
        <v>92.34</v>
      </c>
      <c r="E14" s="11" t="n">
        <v>83.93000000000001</v>
      </c>
      <c r="F14" s="11" t="n">
        <v>87.16</v>
      </c>
      <c r="G14" s="11">
        <f>D14-E14</f>
        <v/>
      </c>
      <c r="H14" s="11" t="n">
        <v>-0.72</v>
      </c>
      <c r="I14" s="11" t="n">
        <v>94.18000000000001</v>
      </c>
      <c r="J14" s="11" t="n">
        <v>87.52</v>
      </c>
      <c r="K14" s="11" t="n">
        <v>90.27</v>
      </c>
      <c r="L14" s="11">
        <f>I14-J14</f>
        <v/>
      </c>
      <c r="M14" s="11" t="n">
        <v>-1.52</v>
      </c>
      <c r="N14" s="11" t="n">
        <v>85.48999999999999</v>
      </c>
      <c r="O14" s="11" t="n">
        <v>73.09999999999999</v>
      </c>
      <c r="P14" s="11" t="n">
        <v>78.09</v>
      </c>
      <c r="Q14" s="56" t="n">
        <v>-2.02</v>
      </c>
      <c r="R14" s="11" t="n">
        <v>97.47</v>
      </c>
      <c r="S14" s="11" t="n">
        <v>95.11</v>
      </c>
      <c r="T14" s="11" t="n">
        <v>96.05</v>
      </c>
      <c r="U14" s="11">
        <f>R14-S14</f>
        <v/>
      </c>
      <c r="V14" s="11" t="n">
        <v>-0.73</v>
      </c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</row>
    <row customHeight="1" ht="27.25" r="15" s="67" spans="1:32">
      <c r="A15" s="9" t="s">
        <v>27</v>
      </c>
      <c r="B15" s="16" t="n"/>
      <c r="C15" s="53" t="n"/>
      <c r="D15" s="11" t="n">
        <v>92.42</v>
      </c>
      <c r="E15" s="11" t="n">
        <v>83.12</v>
      </c>
      <c r="F15" s="11" t="n">
        <v>86.92</v>
      </c>
      <c r="G15" s="11">
        <f>D15-E15</f>
        <v/>
      </c>
      <c r="H15" s="11" t="n">
        <v>-1.85</v>
      </c>
      <c r="I15" s="11" t="n">
        <v>94.09999999999999</v>
      </c>
      <c r="J15" s="11" t="n">
        <v>87.98999999999999</v>
      </c>
      <c r="K15" s="11" t="n">
        <v>90.45999999999999</v>
      </c>
      <c r="L15" s="11">
        <f>I15-J15</f>
        <v/>
      </c>
      <c r="M15" s="11" t="n">
        <v>-1.23</v>
      </c>
      <c r="N15" s="11" t="n">
        <v>85.45999999999999</v>
      </c>
      <c r="O15" s="11" t="n">
        <v>73.09999999999999</v>
      </c>
      <c r="P15" s="11" t="n">
        <v>78.06999999999999</v>
      </c>
      <c r="Q15" s="56" t="n">
        <v>-1.95</v>
      </c>
      <c r="R15" s="11" t="n">
        <v>97.47</v>
      </c>
      <c r="S15" s="11" t="n">
        <v>95.34999999999999</v>
      </c>
      <c r="T15" s="11" t="n">
        <v>96.23999999999999</v>
      </c>
      <c r="U15" s="11">
        <f>R15-S15</f>
        <v/>
      </c>
      <c r="V15" s="11" t="n">
        <v>-0.8100000000000001</v>
      </c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</row>
    <row customHeight="1" ht="27.25" r="16" s="67" spans="1:32">
      <c r="A16" s="31" t="s">
        <v>34</v>
      </c>
      <c r="B16" s="32" t="n"/>
      <c r="C16" s="32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5" t="n"/>
      <c r="Q16" s="58" t="n"/>
      <c r="R16" s="33" t="n"/>
      <c r="S16" s="33" t="n"/>
      <c r="T16" s="33" t="n"/>
      <c r="U16" s="33" t="n"/>
      <c r="V16" s="33" t="n"/>
    </row>
  </sheetData>
  <autoFilter ref="A1:P16"/>
  <mergeCells count="4">
    <mergeCell ref="D1:H1"/>
    <mergeCell ref="I1:M1"/>
    <mergeCell ref="N1:Q1"/>
    <mergeCell ref="R1:V1"/>
  </mergeCells>
  <conditionalFormatting sqref="D14">
    <cfRule dxfId="0" priority="38" rank="2" type="top10"/>
  </conditionalFormatting>
  <conditionalFormatting sqref="E14">
    <cfRule dxfId="0" priority="1" rank="2" type="top10"/>
  </conditionalFormatting>
  <conditionalFormatting sqref="F14">
    <cfRule dxfId="0" priority="3" rank="2" type="top10"/>
  </conditionalFormatting>
  <conditionalFormatting sqref="I14">
    <cfRule dxfId="0" priority="36" rank="2" type="top10"/>
  </conditionalFormatting>
  <conditionalFormatting sqref="J14">
    <cfRule dxfId="0" priority="35" rank="2" type="top10"/>
  </conditionalFormatting>
  <conditionalFormatting sqref="K14">
    <cfRule dxfId="0" priority="34" rank="2" type="top10"/>
  </conditionalFormatting>
  <conditionalFormatting sqref="N14">
    <cfRule dxfId="0" priority="30" rank="2" type="top10"/>
  </conditionalFormatting>
  <conditionalFormatting sqref="O14">
    <cfRule dxfId="0" priority="29" rank="2" type="top10"/>
  </conditionalFormatting>
  <conditionalFormatting sqref="P14">
    <cfRule dxfId="0" priority="28" rank="2" type="top10"/>
  </conditionalFormatting>
  <conditionalFormatting sqref="R14">
    <cfRule dxfId="0" priority="33" rank="2" type="top10"/>
  </conditionalFormatting>
  <conditionalFormatting sqref="S14">
    <cfRule dxfId="0" priority="32" rank="2" type="top10"/>
  </conditionalFormatting>
  <conditionalFormatting sqref="T14">
    <cfRule dxfId="0" priority="31" rank="2" type="top10"/>
  </conditionalFormatting>
  <conditionalFormatting sqref="D15">
    <cfRule dxfId="0" priority="27" rank="2" type="top10"/>
  </conditionalFormatting>
  <conditionalFormatting sqref="E15">
    <cfRule dxfId="0" priority="26" rank="2" type="top10"/>
  </conditionalFormatting>
  <conditionalFormatting sqref="F15">
    <cfRule dxfId="0" priority="25" rank="2" type="top10"/>
  </conditionalFormatting>
  <conditionalFormatting sqref="I15">
    <cfRule dxfId="0" priority="24" rank="2" type="top10"/>
  </conditionalFormatting>
  <conditionalFormatting sqref="J15">
    <cfRule dxfId="0" priority="23" rank="2" type="top10"/>
  </conditionalFormatting>
  <conditionalFormatting sqref="K15">
    <cfRule dxfId="0" priority="22" rank="2" type="top10"/>
  </conditionalFormatting>
  <conditionalFormatting sqref="N15">
    <cfRule dxfId="0" priority="18" rank="2" type="top10"/>
  </conditionalFormatting>
  <conditionalFormatting sqref="O15">
    <cfRule dxfId="0" priority="17" rank="2" type="top10"/>
  </conditionalFormatting>
  <conditionalFormatting sqref="P15">
    <cfRule dxfId="0" priority="16" rank="2" type="top10"/>
  </conditionalFormatting>
  <conditionalFormatting sqref="R15">
    <cfRule dxfId="0" priority="21" rank="2" type="top10"/>
  </conditionalFormatting>
  <conditionalFormatting sqref="S15">
    <cfRule dxfId="0" priority="20" rank="2" type="top10"/>
  </conditionalFormatting>
  <conditionalFormatting sqref="T15">
    <cfRule dxfId="0" priority="19" rank="2" type="top10"/>
  </conditionalFormatting>
  <conditionalFormatting sqref="N3:N13">
    <cfRule dxfId="6" priority="56" rank="1" type="top10"/>
    <cfRule dxfId="5" priority="55" rank="1" type="top10"/>
    <cfRule dxfId="4" priority="54" rank="1" type="top10"/>
    <cfRule dxfId="3" priority="53" rank="1" type="top10"/>
    <cfRule dxfId="2" priority="52" rank="1" type="top10"/>
    <cfRule dxfId="1" priority="51" rank="1" type="top10"/>
  </conditionalFormatting>
  <conditionalFormatting sqref="O3:O13">
    <cfRule dxfId="6" priority="50" rank="1" type="top10"/>
    <cfRule dxfId="5" priority="49" rank="1" type="top10"/>
    <cfRule dxfId="4" priority="48" rank="1" type="top10"/>
    <cfRule dxfId="3" priority="47" rank="1" type="top10"/>
    <cfRule dxfId="2" priority="46" rank="1" type="top10"/>
    <cfRule dxfId="1" priority="45" rank="1" type="top10"/>
  </conditionalFormatting>
  <conditionalFormatting sqref="D3 D5:D13">
    <cfRule dxfId="6" priority="133" rank="1" type="top10"/>
    <cfRule dxfId="5" priority="109" rank="1" type="top10"/>
    <cfRule dxfId="4" priority="108" rank="1" type="top10"/>
    <cfRule dxfId="3" priority="107" rank="1" type="top10"/>
    <cfRule dxfId="2" priority="106" rank="1" type="top10"/>
    <cfRule dxfId="1" priority="105" rank="1" type="top10"/>
  </conditionalFormatting>
  <conditionalFormatting sqref="E3 E5:E13">
    <cfRule dxfId="6" priority="104" rank="1" type="top10"/>
    <cfRule dxfId="5" priority="103" rank="1" type="top10"/>
    <cfRule dxfId="4" priority="102" rank="1" type="top10"/>
    <cfRule dxfId="3" priority="101" rank="1" type="top10"/>
    <cfRule dxfId="2" priority="100" rank="1" type="top10"/>
    <cfRule dxfId="1" priority="99" rank="1" type="top10"/>
  </conditionalFormatting>
  <conditionalFormatting sqref="F3:H3 G4:H4 F5:H13 G14:H15">
    <cfRule dxfId="1" priority="93" rank="1" type="top10"/>
    <cfRule dxfId="2" priority="94" rank="1" type="top10"/>
    <cfRule dxfId="3" priority="95" rank="1" type="top10"/>
    <cfRule dxfId="4" priority="96" rank="1" type="top10"/>
    <cfRule dxfId="5" priority="97" rank="1" type="top10"/>
    <cfRule dxfId="6" priority="98" rank="1" type="top10"/>
  </conditionalFormatting>
  <conditionalFormatting sqref="I3 I5:I13">
    <cfRule dxfId="6" priority="92" rank="1" type="top10"/>
    <cfRule dxfId="5" priority="91" rank="1" type="top10"/>
    <cfRule dxfId="4" priority="90" rank="1" type="top10"/>
    <cfRule dxfId="3" priority="89" rank="1" type="top10"/>
    <cfRule dxfId="2" priority="88" rank="1" type="top10"/>
    <cfRule dxfId="1" priority="87" rank="1" type="top10"/>
  </conditionalFormatting>
  <conditionalFormatting sqref="J3 J5:J13">
    <cfRule dxfId="6" priority="86" rank="1" type="top10"/>
    <cfRule dxfId="5" priority="85" rank="1" type="top10"/>
    <cfRule dxfId="4" priority="84" rank="1" type="top10"/>
    <cfRule dxfId="3" priority="83" rank="1" type="top10"/>
    <cfRule dxfId="2" priority="82" rank="1" type="top10"/>
    <cfRule dxfId="1" priority="81" rank="1" type="top10"/>
  </conditionalFormatting>
  <conditionalFormatting sqref="K3:M3 L4:M4 K5:M13 L14:M15">
    <cfRule dxfId="1" priority="75" rank="1" type="top10"/>
    <cfRule dxfId="2" priority="76" rank="1" type="top10"/>
    <cfRule dxfId="3" priority="77" rank="1" type="top10"/>
    <cfRule dxfId="4" priority="78" rank="1" type="top10"/>
    <cfRule dxfId="5" priority="79" rank="1" type="top10"/>
    <cfRule dxfId="6" priority="80" rank="1" type="top10"/>
  </conditionalFormatting>
  <conditionalFormatting sqref="P3:Q13">
    <cfRule dxfId="6" priority="44" rank="1" type="top10"/>
    <cfRule dxfId="5" priority="43" rank="1" type="top10"/>
    <cfRule dxfId="4" priority="42" rank="1" type="top10"/>
    <cfRule dxfId="3" priority="41" rank="1" type="top10"/>
    <cfRule dxfId="2" priority="40" rank="1" type="top10"/>
    <cfRule dxfId="1" priority="39" rank="1" type="top10"/>
  </conditionalFormatting>
  <conditionalFormatting sqref="R5:R13 R3">
    <cfRule dxfId="6" priority="74" rank="1" type="top10"/>
    <cfRule dxfId="5" priority="73" rank="1" type="top10"/>
    <cfRule dxfId="4" priority="72" rank="1" type="top10"/>
    <cfRule dxfId="3" priority="71" rank="1" type="top10"/>
    <cfRule dxfId="2" priority="70" rank="1" type="top10"/>
    <cfRule dxfId="1" priority="69" rank="1" type="top10"/>
  </conditionalFormatting>
  <conditionalFormatting sqref="S5:S13 S3">
    <cfRule dxfId="6" priority="68" rank="1" type="top10"/>
    <cfRule dxfId="5" priority="67" rank="1" type="top10"/>
    <cfRule dxfId="4" priority="66" rank="1" type="top10"/>
    <cfRule dxfId="3" priority="65" rank="1" type="top10"/>
    <cfRule dxfId="2" priority="64" rank="1" type="top10"/>
    <cfRule dxfId="1" priority="63" rank="1" type="top10"/>
  </conditionalFormatting>
  <conditionalFormatting sqref="T3:V3 U4:V4 T5:V13 U14:V15">
    <cfRule dxfId="1" priority="57" rank="1" type="top10"/>
    <cfRule dxfId="2" priority="58" rank="1" type="top10"/>
    <cfRule dxfId="3" priority="59" rank="1" type="top10"/>
    <cfRule dxfId="4" priority="60" rank="1" type="top10"/>
    <cfRule dxfId="5" priority="61" rank="1" type="top10"/>
    <cfRule dxfId="6" priority="62" rank="1" type="top10"/>
  </conditionalFormatting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"/>
  <sheetViews>
    <sheetView tabSelected="1" workbookViewId="0">
      <selection activeCell="M30" sqref="M30"/>
    </sheetView>
  </sheetViews>
  <sheetFormatPr baseColWidth="8" defaultColWidth="8.72972972972973" defaultRowHeight="14.1" outlineLevelCol="0"/>
  <cols>
    <col customWidth="1" max="1" min="1" style="67" width="35.3603603603604"/>
    <col customWidth="1" hidden="1" max="2" min="2" style="67" width="9"/>
    <col customWidth="1" hidden="1" max="3" min="3" style="67" width="11.4504504504505"/>
    <col customWidth="1" max="17" min="4" style="67" width="10.3603603603604"/>
    <col customWidth="1" max="20" min="18" style="67" width="9.11711711711712"/>
    <col customWidth="1" hidden="1" max="22" min="21" style="67" width="8.72972972972973"/>
  </cols>
  <sheetData>
    <row customHeight="1" ht="41" r="1" s="67" spans="1:32">
      <c r="A1" s="1" t="s">
        <v>0</v>
      </c>
      <c r="B1" s="1" t="s">
        <v>1</v>
      </c>
      <c r="C1" s="1" t="s">
        <v>2</v>
      </c>
      <c r="D1" s="47" t="s">
        <v>3</v>
      </c>
      <c r="I1" s="47" t="s">
        <v>4</v>
      </c>
      <c r="N1" s="47" t="s">
        <v>5</v>
      </c>
      <c r="R1" s="47" t="s">
        <v>6</v>
      </c>
    </row>
    <row customHeight="1" ht="27.25" r="2" s="67" spans="1:32">
      <c r="A2" s="6" t="n"/>
      <c r="B2" s="7" t="n"/>
      <c r="C2" s="49" t="n"/>
      <c r="D2" s="16" t="s">
        <v>7</v>
      </c>
      <c r="E2" s="16" t="s">
        <v>8</v>
      </c>
      <c r="F2" s="16" t="s">
        <v>9</v>
      </c>
      <c r="G2" s="16" t="s">
        <v>10</v>
      </c>
      <c r="H2" s="16" t="s">
        <v>11</v>
      </c>
      <c r="I2" s="16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7</v>
      </c>
      <c r="O2" s="16" t="s">
        <v>8</v>
      </c>
      <c r="P2" s="16" t="s">
        <v>9</v>
      </c>
      <c r="Q2" s="16" t="s">
        <v>11</v>
      </c>
      <c r="R2" s="16" t="s">
        <v>7</v>
      </c>
      <c r="S2" s="16" t="s">
        <v>8</v>
      </c>
      <c r="T2" s="16" t="s">
        <v>9</v>
      </c>
      <c r="U2" s="16" t="s">
        <v>10</v>
      </c>
      <c r="V2" s="16" t="s">
        <v>11</v>
      </c>
    </row>
    <row customHeight="1" ht="27.25" r="3" s="67" spans="1:32">
      <c r="A3" s="9" t="s">
        <v>13</v>
      </c>
      <c r="B3" s="16" t="n"/>
      <c r="C3" s="53" t="n"/>
      <c r="D3" s="11" t="n">
        <v>89.42</v>
      </c>
      <c r="E3" s="11" t="n">
        <v>14.84</v>
      </c>
      <c r="F3" s="11" t="n">
        <v>22.6</v>
      </c>
      <c r="G3" s="11">
        <f>D3-E3</f>
        <v/>
      </c>
      <c r="H3" s="11" t="n"/>
      <c r="I3" s="11" t="n">
        <v>91.73</v>
      </c>
      <c r="J3" s="11" t="n">
        <v>48.28</v>
      </c>
      <c r="K3" s="11" t="n">
        <v>70.44</v>
      </c>
      <c r="L3" s="11">
        <f>I3-J3</f>
        <v/>
      </c>
      <c r="M3" s="11" t="n"/>
      <c r="N3" s="11" t="n">
        <v>81.79000000000001</v>
      </c>
      <c r="O3" s="11" t="n">
        <v>12.8</v>
      </c>
      <c r="P3" s="11" t="n">
        <v>24.31</v>
      </c>
      <c r="Q3" s="55" t="n"/>
      <c r="R3" s="11" t="n">
        <v>95.03</v>
      </c>
      <c r="S3" s="11" t="n">
        <v>72.78</v>
      </c>
      <c r="T3" s="11" t="n">
        <v>82.41</v>
      </c>
      <c r="U3" s="11">
        <f>R3-S3</f>
        <v/>
      </c>
      <c r="V3" s="11" t="n"/>
    </row>
    <row customHeight="1" ht="27.25" r="4" s="67" spans="1:32">
      <c r="A4" s="9" t="s">
        <v>14</v>
      </c>
      <c r="B4" s="16" t="n"/>
      <c r="C4" s="53" t="n"/>
      <c r="D4" s="16" t="n">
        <v>89.59</v>
      </c>
      <c r="E4" s="16" t="n">
        <v>73.70999999999999</v>
      </c>
      <c r="F4" s="16" t="n">
        <v>79.12</v>
      </c>
      <c r="G4" s="11">
        <f>D4-E4</f>
        <v/>
      </c>
      <c r="H4" s="16" t="n"/>
      <c r="I4" s="16" t="n">
        <v>77.65000000000001</v>
      </c>
      <c r="J4" s="16" t="n">
        <v>63.21</v>
      </c>
      <c r="K4" s="16" t="n">
        <v>69.19</v>
      </c>
      <c r="L4" s="11">
        <f>I4-J4</f>
        <v/>
      </c>
      <c r="M4" s="16" t="n"/>
      <c r="N4" s="11" t="n">
        <v>64.13</v>
      </c>
      <c r="O4" s="11" t="n">
        <v>50.6</v>
      </c>
      <c r="P4" s="11" t="n">
        <v>56.17</v>
      </c>
      <c r="Q4" s="55" t="n"/>
      <c r="R4" s="16" t="n">
        <v>94</v>
      </c>
      <c r="S4" s="16" t="n">
        <v>88.56</v>
      </c>
      <c r="T4" s="16" t="n">
        <v>90.76000000000001</v>
      </c>
      <c r="U4" s="11">
        <f>R4-S4</f>
        <v/>
      </c>
      <c r="V4" s="11" t="n"/>
    </row>
    <row customHeight="1" ht="27.25" r="5" s="67" spans="1:32">
      <c r="A5" s="9" t="s">
        <v>15</v>
      </c>
      <c r="B5" s="14" t="s">
        <v>16</v>
      </c>
      <c r="C5" s="52" t="n">
        <v>2022</v>
      </c>
      <c r="D5" s="14" t="n">
        <v>89.93000000000001</v>
      </c>
      <c r="E5" s="14" t="n">
        <v>49.41</v>
      </c>
      <c r="F5" s="14" t="n">
        <v>66.04000000000001</v>
      </c>
      <c r="G5" s="11">
        <f>D5-E5</f>
        <v/>
      </c>
      <c r="H5" s="14" t="n"/>
      <c r="I5" s="14" t="n">
        <v>91.92</v>
      </c>
      <c r="J5" s="14" t="n">
        <v>55.44</v>
      </c>
      <c r="K5" s="14" t="n">
        <v>71.06</v>
      </c>
      <c r="L5" s="11">
        <f>I5-J5</f>
        <v/>
      </c>
      <c r="M5" s="14" t="n"/>
      <c r="N5" s="11" t="n">
        <v>78.7</v>
      </c>
      <c r="O5" s="11" t="n">
        <v>43.92</v>
      </c>
      <c r="P5" s="11" t="n">
        <v>58.5</v>
      </c>
      <c r="Q5" s="55" t="n"/>
      <c r="R5" s="14" t="n">
        <v>96.77</v>
      </c>
      <c r="S5" s="14" t="n">
        <v>62.69</v>
      </c>
      <c r="T5" s="14" t="n">
        <v>77.55</v>
      </c>
      <c r="U5" s="11">
        <f>R5-S5</f>
        <v/>
      </c>
      <c r="V5" s="11" t="n"/>
    </row>
    <row customHeight="1" ht="27.25" r="6" s="67" spans="1:32">
      <c r="A6" s="9" t="s">
        <v>17</v>
      </c>
      <c r="B6" s="14" t="n"/>
      <c r="C6" s="52" t="n"/>
      <c r="D6" s="14" t="n">
        <v>91.04000000000001</v>
      </c>
      <c r="E6" s="14" t="n">
        <v>51.4</v>
      </c>
      <c r="F6" s="14" t="n">
        <v>67.14</v>
      </c>
      <c r="G6" s="11">
        <f>D6-E6</f>
        <v/>
      </c>
      <c r="H6" s="14" t="n"/>
      <c r="I6" s="14" t="n">
        <v>93.3</v>
      </c>
      <c r="J6" s="14" t="n">
        <v>56.31</v>
      </c>
      <c r="K6" s="14" t="n">
        <v>72.13</v>
      </c>
      <c r="L6" s="11">
        <f>I6-J6</f>
        <v/>
      </c>
      <c r="M6" s="14" t="n"/>
      <c r="N6" s="14" t="n">
        <v>81.31999999999999</v>
      </c>
      <c r="O6" s="14" t="n">
        <v>46.9</v>
      </c>
      <c r="P6" s="14" t="n">
        <v>61.61</v>
      </c>
      <c r="Q6" s="55" t="n"/>
      <c r="R6" s="14" t="n">
        <v>97.5</v>
      </c>
      <c r="S6" s="14" t="n">
        <v>62.43</v>
      </c>
      <c r="T6" s="14" t="n">
        <v>77.16</v>
      </c>
      <c r="U6" s="11">
        <f>R6-S6</f>
        <v/>
      </c>
      <c r="V6" s="14" t="n"/>
    </row>
    <row customHeight="1" ht="27.25" r="7" s="67" spans="1:32">
      <c r="A7" s="9" t="s">
        <v>18</v>
      </c>
      <c r="B7" s="14" t="s">
        <v>19</v>
      </c>
      <c r="C7" s="52" t="n">
        <v>2023</v>
      </c>
      <c r="D7" s="11" t="n">
        <v>90.87</v>
      </c>
      <c r="E7" s="11" t="n">
        <v>54.37</v>
      </c>
      <c r="F7" s="11" t="n">
        <v>68.90000000000001</v>
      </c>
      <c r="G7" s="11">
        <f>D7-E7</f>
        <v/>
      </c>
      <c r="H7" s="11" t="n"/>
      <c r="I7" s="11" t="n">
        <v>92.98</v>
      </c>
      <c r="J7" s="11" t="n">
        <v>57.95</v>
      </c>
      <c r="K7" s="11" t="n">
        <v>72.97</v>
      </c>
      <c r="L7" s="11">
        <f>I7-J7</f>
        <v/>
      </c>
      <c r="M7" s="11" t="n"/>
      <c r="N7" s="11" t="n">
        <v>78.01000000000001</v>
      </c>
      <c r="O7" s="11" t="n">
        <v>48.08</v>
      </c>
      <c r="P7" s="11" t="n">
        <v>60.83</v>
      </c>
      <c r="Q7" s="55" t="n"/>
      <c r="R7" s="11" t="n">
        <v>97.13</v>
      </c>
      <c r="S7" s="11" t="n">
        <v>68.83</v>
      </c>
      <c r="T7" s="11" t="n">
        <v>80.59999999999999</v>
      </c>
      <c r="U7" s="11">
        <f>R7-S7</f>
        <v/>
      </c>
      <c r="V7" s="11" t="n"/>
    </row>
    <row customHeight="1" ht="27.25" r="8" s="67" spans="1:32">
      <c r="A8" s="9" t="s">
        <v>20</v>
      </c>
      <c r="B8" s="14" t="s">
        <v>16</v>
      </c>
      <c r="C8" s="52" t="n">
        <v>2024</v>
      </c>
      <c r="D8" s="11" t="n">
        <v>92.48999999999999</v>
      </c>
      <c r="E8" s="11" t="n">
        <v>45.89</v>
      </c>
      <c r="F8" s="11" t="n">
        <v>65.09</v>
      </c>
      <c r="G8" s="11">
        <f>D8-E8</f>
        <v/>
      </c>
      <c r="H8" s="11" t="n"/>
      <c r="I8" s="11" t="n">
        <v>94.34999999999999</v>
      </c>
      <c r="J8" s="11" t="n">
        <v>56.56</v>
      </c>
      <c r="K8" s="11" t="n">
        <v>72.78</v>
      </c>
      <c r="L8" s="11">
        <f>I8-J8</f>
        <v/>
      </c>
      <c r="M8" s="11" t="n"/>
      <c r="N8" s="11" t="n">
        <v>84.59999999999999</v>
      </c>
      <c r="O8" s="11" t="n">
        <v>45.52</v>
      </c>
      <c r="P8" s="11" t="n">
        <v>61.75</v>
      </c>
      <c r="Q8" s="55" t="n"/>
      <c r="R8" s="11" t="n">
        <v>97.8</v>
      </c>
      <c r="S8" s="11" t="n">
        <v>58.82</v>
      </c>
      <c r="T8" s="11" t="n">
        <v>75.51000000000001</v>
      </c>
      <c r="U8" s="11">
        <f>R8-S8</f>
        <v/>
      </c>
      <c r="V8" s="11" t="n"/>
    </row>
    <row customHeight="1" ht="27.25" r="9" s="67" spans="1:32">
      <c r="A9" s="9" t="s">
        <v>21</v>
      </c>
      <c r="B9" s="16" t="s">
        <v>22</v>
      </c>
      <c r="C9" s="53" t="n">
        <v>2025</v>
      </c>
      <c r="D9" s="11" t="n">
        <v>91.72</v>
      </c>
      <c r="E9" s="11" t="n">
        <v>54.41</v>
      </c>
      <c r="F9" s="11" t="n">
        <v>66.81999999999999</v>
      </c>
      <c r="G9" s="11">
        <f>D9-E9</f>
        <v/>
      </c>
      <c r="H9" s="11" t="n"/>
      <c r="I9" s="11" t="n">
        <v>93.8</v>
      </c>
      <c r="J9" s="11" t="n">
        <v>73.58</v>
      </c>
      <c r="K9" s="11" t="n">
        <v>81.68000000000001</v>
      </c>
      <c r="L9" s="11">
        <f>I9-J9</f>
        <v/>
      </c>
      <c r="M9" s="11" t="n"/>
      <c r="N9" s="14" t="n">
        <v>83.58</v>
      </c>
      <c r="O9" s="14" t="n">
        <v>51.37</v>
      </c>
      <c r="P9" s="14" t="n">
        <v>58.14</v>
      </c>
      <c r="Q9" s="55" t="n"/>
      <c r="R9" s="11" t="n">
        <v>97.7</v>
      </c>
      <c r="S9" s="11" t="n">
        <v>75.53</v>
      </c>
      <c r="T9" s="11" t="n">
        <v>82.98</v>
      </c>
      <c r="U9" s="11">
        <f>R9-S9</f>
        <v/>
      </c>
      <c r="V9" s="14" t="n"/>
    </row>
    <row customHeight="1" ht="27.25" r="10" s="67" spans="1:32">
      <c r="A10" s="17" t="s">
        <v>35</v>
      </c>
      <c r="B10" s="19" t="s">
        <v>19</v>
      </c>
      <c r="C10" s="54" t="n">
        <v>2023</v>
      </c>
      <c r="D10" s="65" t="n">
        <v>80.20999999999999</v>
      </c>
      <c r="E10" s="65" t="n">
        <v>63.32</v>
      </c>
      <c r="F10" s="65" t="n">
        <v>69.37</v>
      </c>
      <c r="G10" s="11">
        <f>D10-E10</f>
        <v/>
      </c>
      <c r="H10" s="65" t="n"/>
      <c r="I10" s="65" t="n">
        <v>88.31999999999999</v>
      </c>
      <c r="J10" s="65" t="n">
        <v>79.98999999999999</v>
      </c>
      <c r="K10" s="65" t="n">
        <v>83.38</v>
      </c>
      <c r="L10" s="11">
        <f>I10-J10</f>
        <v/>
      </c>
      <c r="M10" s="65" t="n"/>
      <c r="N10" s="29" t="n"/>
      <c r="O10" s="29" t="n"/>
      <c r="P10" s="29" t="n"/>
      <c r="Q10" s="55" t="n"/>
      <c r="R10" s="65" t="n">
        <v>90.14</v>
      </c>
      <c r="S10" s="65" t="n">
        <v>81.55</v>
      </c>
      <c r="T10" s="65" t="n">
        <v>85.54000000000001</v>
      </c>
      <c r="U10" s="11">
        <f>R10-S10</f>
        <v/>
      </c>
      <c r="V10" s="29" t="n"/>
    </row>
    <row customHeight="1" ht="27.25" r="11" s="67" spans="1:32">
      <c r="A11" s="9" t="s">
        <v>23</v>
      </c>
      <c r="B11" s="14" t="s">
        <v>24</v>
      </c>
      <c r="C11" s="52" t="n">
        <v>2024</v>
      </c>
      <c r="D11" s="11" t="n">
        <v>91.55</v>
      </c>
      <c r="E11" s="11" t="n">
        <v>82.73999999999999</v>
      </c>
      <c r="F11" s="11" t="n">
        <v>86.20999999999999</v>
      </c>
      <c r="G11" s="11">
        <f>D11-E11</f>
        <v/>
      </c>
      <c r="H11" s="11" t="n"/>
      <c r="I11" s="11" t="n">
        <v>92.15000000000001</v>
      </c>
      <c r="J11" s="11" t="n">
        <v>86.39</v>
      </c>
      <c r="K11" s="11" t="n">
        <v>89.28</v>
      </c>
      <c r="L11" s="11">
        <f>I11-J11</f>
        <v/>
      </c>
      <c r="M11" s="11" t="n"/>
      <c r="N11" s="11" t="n">
        <v>83.09</v>
      </c>
      <c r="O11" s="11" t="n">
        <v>73.90000000000001</v>
      </c>
      <c r="P11" s="11" t="n">
        <v>77.95</v>
      </c>
      <c r="Q11" s="55" t="n"/>
      <c r="R11" s="11" t="n">
        <v>96.92</v>
      </c>
      <c r="S11" s="11" t="n">
        <v>94.84</v>
      </c>
      <c r="T11" s="11" t="n">
        <v>95.76000000000001</v>
      </c>
      <c r="U11" s="11">
        <f>R11-S11</f>
        <v/>
      </c>
      <c r="V11" s="11" t="n"/>
    </row>
    <row customHeight="1" ht="27.25" r="12" s="67" spans="1:32">
      <c r="A12" s="9" t="s">
        <v>33</v>
      </c>
      <c r="B12" s="14" t="n"/>
      <c r="C12" s="52" t="n"/>
      <c r="D12" s="11" t="n">
        <v>82.20999999999999</v>
      </c>
      <c r="E12" s="11" t="n">
        <v>75.08</v>
      </c>
      <c r="F12" s="11" t="n">
        <v>77.5</v>
      </c>
      <c r="G12" s="11">
        <f>D12-E12</f>
        <v/>
      </c>
      <c r="H12" s="11" t="n"/>
      <c r="I12" s="11" t="n">
        <v>90.88</v>
      </c>
      <c r="J12" s="11" t="n">
        <v>86.06</v>
      </c>
      <c r="K12" s="11" t="n">
        <v>88.08</v>
      </c>
      <c r="L12" s="11">
        <f>I12-J12</f>
        <v/>
      </c>
      <c r="M12" s="11" t="n"/>
      <c r="N12" s="14" t="n"/>
      <c r="O12" s="14" t="n"/>
      <c r="P12" s="14" t="n"/>
      <c r="Q12" s="55" t="n"/>
      <c r="R12" s="11" t="n">
        <v>96.68000000000001</v>
      </c>
      <c r="S12" s="11" t="n">
        <v>94.09999999999999</v>
      </c>
      <c r="T12" s="11" t="n">
        <v>95.27</v>
      </c>
      <c r="U12" s="11">
        <f>R12-S12</f>
        <v/>
      </c>
      <c r="V12" s="14" t="n"/>
    </row>
    <row customHeight="1" ht="27.25" r="13" s="67" spans="1:32">
      <c r="A13" s="9" t="s">
        <v>25</v>
      </c>
      <c r="B13" s="14" t="s">
        <v>16</v>
      </c>
      <c r="C13" s="52" t="n">
        <v>2025</v>
      </c>
      <c r="D13" s="11" t="n">
        <v>91.98</v>
      </c>
      <c r="E13" s="11" t="n">
        <v>83.63</v>
      </c>
      <c r="F13" s="11" t="n">
        <v>87.01000000000001</v>
      </c>
      <c r="G13" s="11">
        <f>D13-E13</f>
        <v/>
      </c>
      <c r="H13" s="11" t="n"/>
      <c r="I13" s="11" t="n">
        <v>92.48</v>
      </c>
      <c r="J13" s="11" t="n">
        <v>87.16</v>
      </c>
      <c r="K13" s="11" t="n">
        <v>89.72</v>
      </c>
      <c r="L13" s="11">
        <f>I13-J13</f>
        <v/>
      </c>
      <c r="M13" s="11" t="n"/>
      <c r="N13" s="11" t="n">
        <v>83.55</v>
      </c>
      <c r="O13" s="11" t="n">
        <v>74.43000000000001</v>
      </c>
      <c r="P13" s="11" t="n">
        <v>78.55</v>
      </c>
      <c r="Q13" s="55" t="n"/>
      <c r="R13" s="11" t="n">
        <v>96.48</v>
      </c>
      <c r="S13" s="11" t="n">
        <v>94.79000000000001</v>
      </c>
      <c r="T13" s="11" t="n">
        <v>95.53</v>
      </c>
      <c r="U13" s="11">
        <f>R13-S13</f>
        <v/>
      </c>
      <c r="V13" s="11" t="n"/>
    </row>
    <row customHeight="1" ht="27.25" r="14" s="67" spans="1:32">
      <c r="A14" s="9" t="s">
        <v>26</v>
      </c>
      <c r="B14" s="16" t="n"/>
      <c r="C14" s="53" t="n"/>
      <c r="D14" s="11" t="n">
        <v>92.34</v>
      </c>
      <c r="E14" s="11" t="n">
        <v>83.93000000000001</v>
      </c>
      <c r="F14" s="11" t="n">
        <v>87.16</v>
      </c>
      <c r="G14" s="11">
        <f>D14-E14</f>
        <v/>
      </c>
      <c r="H14" s="11" t="n">
        <v>-0.72</v>
      </c>
      <c r="I14" s="11" t="n">
        <v>94.18000000000001</v>
      </c>
      <c r="J14" s="11" t="n">
        <v>87.52</v>
      </c>
      <c r="K14" s="11" t="n">
        <v>90.27</v>
      </c>
      <c r="L14" s="11">
        <f>I14-J14</f>
        <v/>
      </c>
      <c r="M14" s="11" t="n">
        <v>-1.52</v>
      </c>
      <c r="N14" s="11" t="n">
        <v>85.48999999999999</v>
      </c>
      <c r="O14" s="11" t="n">
        <v>73.09999999999999</v>
      </c>
      <c r="P14" s="11" t="n">
        <v>78.09</v>
      </c>
      <c r="Q14" s="56" t="n">
        <v>-2.02</v>
      </c>
      <c r="R14" s="11" t="n">
        <v>97.47</v>
      </c>
      <c r="S14" s="11" t="n">
        <v>95.11</v>
      </c>
      <c r="T14" s="11" t="n">
        <v>96.05</v>
      </c>
      <c r="U14" s="11">
        <f>R14-S14</f>
        <v/>
      </c>
      <c r="V14" s="11" t="n">
        <v>-0.73</v>
      </c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</row>
    <row customHeight="1" ht="27.25" r="15" s="67" spans="1:32">
      <c r="A15" s="9" t="s">
        <v>27</v>
      </c>
      <c r="B15" s="16" t="n"/>
      <c r="C15" s="53" t="n"/>
      <c r="D15" s="11" t="n">
        <v>92.42</v>
      </c>
      <c r="E15" s="11" t="n">
        <v>83.12</v>
      </c>
      <c r="F15" s="11" t="n">
        <v>86.92</v>
      </c>
      <c r="G15" s="11">
        <f>D15-E15</f>
        <v/>
      </c>
      <c r="H15" s="11" t="n">
        <v>-1.85</v>
      </c>
      <c r="I15" s="11" t="n">
        <v>94.09999999999999</v>
      </c>
      <c r="J15" s="11" t="n">
        <v>87.98999999999999</v>
      </c>
      <c r="K15" s="11" t="n">
        <v>90.45999999999999</v>
      </c>
      <c r="L15" s="11">
        <f>I15-J15</f>
        <v/>
      </c>
      <c r="M15" s="11" t="n">
        <v>-1.23</v>
      </c>
      <c r="N15" s="11" t="n">
        <v>85.45999999999999</v>
      </c>
      <c r="O15" s="11" t="n">
        <v>73.09999999999999</v>
      </c>
      <c r="P15" s="11" t="n">
        <v>78.06999999999999</v>
      </c>
      <c r="Q15" s="56" t="n">
        <v>-1.95</v>
      </c>
      <c r="R15" s="11" t="n">
        <v>97.47</v>
      </c>
      <c r="S15" s="11" t="n">
        <v>95.34999999999999</v>
      </c>
      <c r="T15" s="11" t="n">
        <v>96.23999999999999</v>
      </c>
      <c r="U15" s="11">
        <f>R15-S15</f>
        <v/>
      </c>
      <c r="V15" s="11" t="n">
        <v>-0.8100000000000001</v>
      </c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</row>
    <row customHeight="1" ht="27.25" r="16" s="67" spans="1:32">
      <c r="A16" s="31" t="s">
        <v>34</v>
      </c>
      <c r="B16" s="32" t="n"/>
      <c r="C16" s="32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5" t="n"/>
      <c r="Q16" s="58" t="n"/>
      <c r="R16" s="33" t="n"/>
      <c r="S16" s="33" t="n"/>
      <c r="T16" s="33" t="n"/>
      <c r="U16" s="33" t="n"/>
      <c r="V16" s="33" t="n"/>
    </row>
  </sheetData>
  <autoFilter ref="A1:P16"/>
  <mergeCells count="4">
    <mergeCell ref="D1:H1"/>
    <mergeCell ref="I1:M1"/>
    <mergeCell ref="N1:Q1"/>
    <mergeCell ref="R1:V1"/>
  </mergeCells>
  <conditionalFormatting sqref="D14">
    <cfRule dxfId="0" priority="38" rank="2" type="top10"/>
  </conditionalFormatting>
  <conditionalFormatting sqref="E14">
    <cfRule dxfId="0" priority="1" rank="2" type="top10"/>
  </conditionalFormatting>
  <conditionalFormatting sqref="F14">
    <cfRule dxfId="0" priority="3" rank="2" type="top10"/>
  </conditionalFormatting>
  <conditionalFormatting sqref="I14">
    <cfRule dxfId="0" priority="36" rank="2" type="top10"/>
  </conditionalFormatting>
  <conditionalFormatting sqref="J14">
    <cfRule dxfId="0" priority="35" rank="2" type="top10"/>
  </conditionalFormatting>
  <conditionalFormatting sqref="K14">
    <cfRule dxfId="0" priority="34" rank="2" type="top10"/>
  </conditionalFormatting>
  <conditionalFormatting sqref="N14">
    <cfRule dxfId="0" priority="30" rank="2" type="top10"/>
  </conditionalFormatting>
  <conditionalFormatting sqref="O14">
    <cfRule dxfId="0" priority="29" rank="2" type="top10"/>
  </conditionalFormatting>
  <conditionalFormatting sqref="P14">
    <cfRule dxfId="0" priority="28" rank="2" type="top10"/>
  </conditionalFormatting>
  <conditionalFormatting sqref="R14">
    <cfRule dxfId="0" priority="33" rank="2" type="top10"/>
  </conditionalFormatting>
  <conditionalFormatting sqref="S14">
    <cfRule dxfId="0" priority="32" rank="2" type="top10"/>
  </conditionalFormatting>
  <conditionalFormatting sqref="T14">
    <cfRule dxfId="0" priority="31" rank="2" type="top10"/>
  </conditionalFormatting>
  <conditionalFormatting sqref="D15">
    <cfRule dxfId="0" priority="27" rank="2" type="top10"/>
  </conditionalFormatting>
  <conditionalFormatting sqref="E15">
    <cfRule dxfId="0" priority="26" rank="2" type="top10"/>
  </conditionalFormatting>
  <conditionalFormatting sqref="F15">
    <cfRule dxfId="0" priority="25" rank="2" type="top10"/>
  </conditionalFormatting>
  <conditionalFormatting sqref="I15">
    <cfRule dxfId="0" priority="24" rank="2" type="top10"/>
  </conditionalFormatting>
  <conditionalFormatting sqref="J15">
    <cfRule dxfId="0" priority="23" rank="2" type="top10"/>
  </conditionalFormatting>
  <conditionalFormatting sqref="K15">
    <cfRule dxfId="0" priority="22" rank="2" type="top10"/>
  </conditionalFormatting>
  <conditionalFormatting sqref="N15">
    <cfRule dxfId="0" priority="18" rank="2" type="top10"/>
  </conditionalFormatting>
  <conditionalFormatting sqref="O15">
    <cfRule dxfId="0" priority="17" rank="2" type="top10"/>
  </conditionalFormatting>
  <conditionalFormatting sqref="P15">
    <cfRule dxfId="0" priority="16" rank="2" type="top10"/>
  </conditionalFormatting>
  <conditionalFormatting sqref="R15">
    <cfRule dxfId="0" priority="21" rank="2" type="top10"/>
  </conditionalFormatting>
  <conditionalFormatting sqref="S15">
    <cfRule dxfId="0" priority="20" rank="2" type="top10"/>
  </conditionalFormatting>
  <conditionalFormatting sqref="T15">
    <cfRule dxfId="0" priority="19" rank="2" type="top10"/>
  </conditionalFormatting>
  <conditionalFormatting sqref="N3:N13">
    <cfRule dxfId="6" priority="56" rank="1" type="top10"/>
    <cfRule dxfId="5" priority="55" rank="1" type="top10"/>
    <cfRule dxfId="4" priority="54" rank="1" type="top10"/>
    <cfRule dxfId="3" priority="53" rank="1" type="top10"/>
    <cfRule dxfId="2" priority="52" rank="1" type="top10"/>
    <cfRule dxfId="1" priority="51" rank="1" type="top10"/>
  </conditionalFormatting>
  <conditionalFormatting sqref="O3:O13">
    <cfRule dxfId="6" priority="50" rank="1" type="top10"/>
    <cfRule dxfId="5" priority="49" rank="1" type="top10"/>
    <cfRule dxfId="4" priority="48" rank="1" type="top10"/>
    <cfRule dxfId="3" priority="47" rank="1" type="top10"/>
    <cfRule dxfId="2" priority="46" rank="1" type="top10"/>
    <cfRule dxfId="1" priority="45" rank="1" type="top10"/>
  </conditionalFormatting>
  <conditionalFormatting sqref="D3 D5:D13">
    <cfRule dxfId="6" priority="133" rank="1" type="top10"/>
    <cfRule dxfId="5" priority="109" rank="1" type="top10"/>
    <cfRule dxfId="4" priority="108" rank="1" type="top10"/>
    <cfRule dxfId="3" priority="107" rank="1" type="top10"/>
    <cfRule dxfId="2" priority="106" rank="1" type="top10"/>
    <cfRule dxfId="1" priority="105" rank="1" type="top10"/>
  </conditionalFormatting>
  <conditionalFormatting sqref="E3 E5:E13">
    <cfRule dxfId="6" priority="104" rank="1" type="top10"/>
    <cfRule dxfId="5" priority="103" rank="1" type="top10"/>
    <cfRule dxfId="4" priority="102" rank="1" type="top10"/>
    <cfRule dxfId="3" priority="101" rank="1" type="top10"/>
    <cfRule dxfId="2" priority="100" rank="1" type="top10"/>
    <cfRule dxfId="1" priority="99" rank="1" type="top10"/>
  </conditionalFormatting>
  <conditionalFormatting sqref="F3:H3 G4:H4 F5:H13 G14:H15">
    <cfRule dxfId="1" priority="93" rank="1" type="top10"/>
    <cfRule dxfId="2" priority="94" rank="1" type="top10"/>
    <cfRule dxfId="3" priority="95" rank="1" type="top10"/>
    <cfRule dxfId="4" priority="96" rank="1" type="top10"/>
    <cfRule dxfId="5" priority="97" rank="1" type="top10"/>
    <cfRule dxfId="6" priority="98" rank="1" type="top10"/>
  </conditionalFormatting>
  <conditionalFormatting sqref="I3 I5:I13">
    <cfRule dxfId="6" priority="92" rank="1" type="top10"/>
    <cfRule dxfId="5" priority="91" rank="1" type="top10"/>
    <cfRule dxfId="4" priority="90" rank="1" type="top10"/>
    <cfRule dxfId="3" priority="89" rank="1" type="top10"/>
    <cfRule dxfId="2" priority="88" rank="1" type="top10"/>
    <cfRule dxfId="1" priority="87" rank="1" type="top10"/>
  </conditionalFormatting>
  <conditionalFormatting sqref="J3 J5:J13">
    <cfRule dxfId="6" priority="86" rank="1" type="top10"/>
    <cfRule dxfId="5" priority="85" rank="1" type="top10"/>
    <cfRule dxfId="4" priority="84" rank="1" type="top10"/>
    <cfRule dxfId="3" priority="83" rank="1" type="top10"/>
    <cfRule dxfId="2" priority="82" rank="1" type="top10"/>
    <cfRule dxfId="1" priority="81" rank="1" type="top10"/>
  </conditionalFormatting>
  <conditionalFormatting sqref="K3:M3 L4:M4 K5:M13 L14:M15">
    <cfRule dxfId="1" priority="75" rank="1" type="top10"/>
    <cfRule dxfId="2" priority="76" rank="1" type="top10"/>
    <cfRule dxfId="3" priority="77" rank="1" type="top10"/>
    <cfRule dxfId="4" priority="78" rank="1" type="top10"/>
    <cfRule dxfId="5" priority="79" rank="1" type="top10"/>
    <cfRule dxfId="6" priority="80" rank="1" type="top10"/>
  </conditionalFormatting>
  <conditionalFormatting sqref="P3:Q13">
    <cfRule dxfId="6" priority="44" rank="1" type="top10"/>
    <cfRule dxfId="5" priority="43" rank="1" type="top10"/>
    <cfRule dxfId="4" priority="42" rank="1" type="top10"/>
    <cfRule dxfId="3" priority="41" rank="1" type="top10"/>
    <cfRule dxfId="2" priority="40" rank="1" type="top10"/>
    <cfRule dxfId="1" priority="39" rank="1" type="top10"/>
  </conditionalFormatting>
  <conditionalFormatting sqref="R5:R13 R3">
    <cfRule dxfId="6" priority="74" rank="1" type="top10"/>
    <cfRule dxfId="5" priority="73" rank="1" type="top10"/>
    <cfRule dxfId="4" priority="72" rank="1" type="top10"/>
    <cfRule dxfId="3" priority="71" rank="1" type="top10"/>
    <cfRule dxfId="2" priority="70" rank="1" type="top10"/>
    <cfRule dxfId="1" priority="69" rank="1" type="top10"/>
  </conditionalFormatting>
  <conditionalFormatting sqref="S5:S13 S3">
    <cfRule dxfId="6" priority="68" rank="1" type="top10"/>
    <cfRule dxfId="5" priority="67" rank="1" type="top10"/>
    <cfRule dxfId="4" priority="66" rank="1" type="top10"/>
    <cfRule dxfId="3" priority="65" rank="1" type="top10"/>
    <cfRule dxfId="2" priority="64" rank="1" type="top10"/>
    <cfRule dxfId="1" priority="63" rank="1" type="top10"/>
  </conditionalFormatting>
  <conditionalFormatting sqref="T3:V3 U4:V4 T5:V13 U14:V15">
    <cfRule dxfId="1" priority="57" rank="1" type="top10"/>
    <cfRule dxfId="2" priority="58" rank="1" type="top10"/>
    <cfRule dxfId="3" priority="59" rank="1" type="top10"/>
    <cfRule dxfId="4" priority="60" rank="1" type="top10"/>
    <cfRule dxfId="5" priority="61" rank="1" type="top10"/>
    <cfRule dxfId="6" priority="62" rank="1" type="top10"/>
  </conditionalFormatting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M32" sqref="M32"/>
    </sheetView>
  </sheetViews>
  <sheetFormatPr baseColWidth="8" defaultColWidth="8.72972972972973" defaultRowHeight="14.1" outlineLevelCol="0"/>
  <cols>
    <col customWidth="1" max="1" min="1" style="67" width="25.7297297297297"/>
    <col customWidth="1" max="2" min="2" style="67" width="14.0900900900901"/>
    <col customWidth="1" max="4" min="3" style="67" width="13.2702702702703"/>
    <col customWidth="1" max="5" min="5" style="67" width="15.1891891891892"/>
    <col customWidth="1" max="6" min="6" style="67" width="10.4954954954955"/>
    <col customWidth="1" max="7" min="7" style="67" width="12.4504504504505"/>
    <col customWidth="1" max="8" min="8" style="67" width="12.045045045045"/>
    <col customWidth="1" max="9" min="9" style="67" width="14.0900900900901"/>
    <col customWidth="1" max="11" min="10" style="67" width="13.2702702702703"/>
    <col customWidth="1" max="12" min="12" style="67" width="15.1891891891892"/>
    <col customWidth="1" max="13" min="13" style="67" width="11.1081081081081"/>
    <col customWidth="1" max="14" min="14" style="67" width="12.4504504504505"/>
    <col customWidth="1" max="15" min="15" style="67" width="10.2702702702703"/>
    <col customWidth="1" max="17" min="16" style="67" width="8.72972972972973"/>
    <col customWidth="1" max="18" min="18" style="67" width="13.5495495495495"/>
    <col customWidth="1" max="19" min="19" style="67" width="18.2702702702703"/>
    <col customWidth="1" max="20" min="20" style="67" width="12.9099099099099"/>
    <col customWidth="1" max="21" min="21" style="67" width="15.8198198198198"/>
    <col customWidth="1" max="22" min="22" style="46" width="13.8108108108108"/>
    <col customWidth="1" max="23" min="23" style="46" width="19.2702702702703"/>
    <col customWidth="1" max="24" min="24" style="46" width="12.8108108108108"/>
    <col customWidth="1" max="25" min="25" style="46" width="18.8558558558559"/>
    <col customWidth="1" max="26" min="26" style="67" width="14.2252252252252"/>
  </cols>
  <sheetData>
    <row customHeight="1" ht="20.1" r="1" s="67" spans="1:27">
      <c r="A1" s="37" t="n"/>
      <c r="B1" s="38" t="s">
        <v>36</v>
      </c>
      <c r="H1" s="39" t="n"/>
      <c r="I1" s="38" t="s">
        <v>37</v>
      </c>
      <c r="O1" s="40" t="n"/>
      <c r="P1" s="32" t="s">
        <v>38</v>
      </c>
      <c r="V1" s="39" t="n"/>
      <c r="W1" s="39" t="s">
        <v>39</v>
      </c>
    </row>
    <row customHeight="1" ht="20.1" r="2" s="67" spans="1:27">
      <c r="A2" s="37" t="n"/>
      <c r="B2" s="41" t="s">
        <v>40</v>
      </c>
      <c r="C2" s="41" t="s">
        <v>41</v>
      </c>
      <c r="D2" s="41" t="s">
        <v>9</v>
      </c>
      <c r="E2" s="41" t="s">
        <v>42</v>
      </c>
      <c r="F2" s="41" t="s">
        <v>43</v>
      </c>
      <c r="G2" s="41" t="s">
        <v>9</v>
      </c>
      <c r="H2" s="41" t="s">
        <v>44</v>
      </c>
      <c r="I2" s="41" t="s">
        <v>40</v>
      </c>
      <c r="J2" s="41" t="s">
        <v>41</v>
      </c>
      <c r="K2" s="41" t="s">
        <v>9</v>
      </c>
      <c r="L2" s="41" t="s">
        <v>42</v>
      </c>
      <c r="M2" s="41" t="s">
        <v>43</v>
      </c>
      <c r="N2" s="41" t="s">
        <v>9</v>
      </c>
      <c r="O2" s="41" t="s">
        <v>44</v>
      </c>
      <c r="P2" s="41" t="s">
        <v>40</v>
      </c>
      <c r="Q2" s="41" t="s">
        <v>41</v>
      </c>
      <c r="R2" s="41" t="s">
        <v>9</v>
      </c>
      <c r="S2" s="41" t="s">
        <v>42</v>
      </c>
      <c r="T2" s="41" t="s">
        <v>45</v>
      </c>
      <c r="U2" s="41" t="s">
        <v>9</v>
      </c>
      <c r="V2" s="42" t="s">
        <v>44</v>
      </c>
      <c r="W2" s="42" t="s">
        <v>42</v>
      </c>
      <c r="X2" s="42" t="s">
        <v>43</v>
      </c>
      <c r="Y2" s="42" t="s">
        <v>9</v>
      </c>
      <c r="Z2" s="42" t="s">
        <v>44</v>
      </c>
    </row>
    <row customHeight="1" ht="22.7" r="3" s="67" spans="1:27">
      <c r="A3" s="9" t="s">
        <v>15</v>
      </c>
      <c r="B3" s="37" t="n">
        <v>1375.14</v>
      </c>
      <c r="C3" s="37" t="n">
        <v>220</v>
      </c>
      <c r="D3" s="37">
        <f>B3/C3</f>
        <v/>
      </c>
      <c r="E3" s="37" t="n">
        <v>157.6982</v>
      </c>
      <c r="F3" s="37" t="n">
        <v>11</v>
      </c>
      <c r="G3" s="37">
        <f>E3/F3</f>
        <v/>
      </c>
      <c r="H3" s="37" t="n">
        <v>4.54</v>
      </c>
      <c r="I3" s="37" t="n">
        <v>6448.82</v>
      </c>
      <c r="J3" s="37" t="n">
        <v>180</v>
      </c>
      <c r="K3" s="37">
        <f>I3/J3</f>
        <v/>
      </c>
      <c r="L3" s="37" t="n">
        <v>428.2056</v>
      </c>
      <c r="M3" s="37" t="n">
        <v>9</v>
      </c>
      <c r="N3" s="37">
        <f>L3/M3</f>
        <v/>
      </c>
      <c r="O3" s="37" t="n">
        <v>20.59</v>
      </c>
      <c r="P3" s="26" t="n"/>
      <c r="Q3" s="26" t="n"/>
      <c r="R3" s="26" t="n"/>
      <c r="S3" s="37" t="n">
        <v>435.1293</v>
      </c>
      <c r="T3" s="37" t="n">
        <v>9</v>
      </c>
      <c r="U3" s="37">
        <f>S3/T3</f>
        <v/>
      </c>
      <c r="V3" s="32" t="n">
        <v>20.5757</v>
      </c>
      <c r="W3" s="32" t="n">
        <v>329.4313</v>
      </c>
      <c r="X3" s="32" t="n">
        <v>11</v>
      </c>
      <c r="Y3" s="32">
        <f>W3/X3</f>
        <v/>
      </c>
      <c r="Z3" s="32" t="n">
        <v>11.5612</v>
      </c>
      <c r="AA3" s="43" t="n"/>
    </row>
    <row customHeight="1" ht="22.7" r="4" s="67" spans="1:27">
      <c r="A4" s="9" t="s">
        <v>17</v>
      </c>
      <c r="B4" s="37" t="n">
        <v>1675.33</v>
      </c>
      <c r="C4" s="37" t="n">
        <v>220</v>
      </c>
      <c r="D4" s="37">
        <f>B4/C4</f>
        <v/>
      </c>
      <c r="E4" s="37" t="n">
        <v>107.14</v>
      </c>
      <c r="F4" s="37" t="n">
        <v>11</v>
      </c>
      <c r="G4" s="37">
        <f>E4/F4</f>
        <v/>
      </c>
      <c r="H4" s="37" t="n"/>
      <c r="I4" s="37" t="n">
        <v>7774.29</v>
      </c>
      <c r="J4" s="37" t="n">
        <v>180</v>
      </c>
      <c r="K4" s="37">
        <f>I4/J4</f>
        <v/>
      </c>
      <c r="L4" s="37" t="n">
        <v>383.15</v>
      </c>
      <c r="M4" s="37" t="n">
        <v>9</v>
      </c>
      <c r="N4" s="37">
        <f>L4/M4</f>
        <v/>
      </c>
      <c r="O4" s="26" t="n"/>
      <c r="P4" s="26" t="n"/>
      <c r="Q4" s="26" t="n"/>
      <c r="R4" s="26" t="n"/>
      <c r="S4" s="37" t="n">
        <v>374.55</v>
      </c>
      <c r="T4" s="37" t="n">
        <v>9</v>
      </c>
      <c r="U4" s="37">
        <f>S4/T4</f>
        <v/>
      </c>
      <c r="V4" s="32" t="n"/>
      <c r="W4" s="32" t="n">
        <v>262.23</v>
      </c>
      <c r="X4" s="32" t="n">
        <v>11</v>
      </c>
      <c r="Y4" s="32">
        <f>W4/X4</f>
        <v/>
      </c>
      <c r="Z4" s="43" t="n"/>
      <c r="AA4" s="43" t="n"/>
    </row>
    <row customHeight="1" ht="22.7" r="5" s="67" spans="1:27">
      <c r="A5" s="9" t="s">
        <v>18</v>
      </c>
      <c r="B5" s="37" t="n">
        <v>2486.28</v>
      </c>
      <c r="C5" s="37" t="n">
        <v>550</v>
      </c>
      <c r="D5" s="37">
        <f>B5/C5</f>
        <v/>
      </c>
      <c r="E5" s="37" t="n">
        <v>105.25</v>
      </c>
      <c r="F5" s="37" t="n">
        <v>11</v>
      </c>
      <c r="G5" s="37">
        <f>E5/F5</f>
        <v/>
      </c>
      <c r="H5" s="37" t="n"/>
      <c r="I5" s="37" t="n">
        <v>994.62</v>
      </c>
      <c r="J5" s="37" t="n">
        <v>45</v>
      </c>
      <c r="K5" s="37">
        <f>I5/J5</f>
        <v/>
      </c>
      <c r="L5" s="37" t="n">
        <v>375.42</v>
      </c>
      <c r="M5" s="37" t="n">
        <v>9</v>
      </c>
      <c r="N5" s="37">
        <f>L5/M5</f>
        <v/>
      </c>
      <c r="O5" s="26" t="n"/>
      <c r="P5" s="26" t="n"/>
      <c r="Q5" s="26" t="n"/>
      <c r="R5" s="26" t="n"/>
      <c r="S5" s="37" t="n">
        <v>376.55</v>
      </c>
      <c r="T5" s="37" t="n">
        <v>9</v>
      </c>
      <c r="U5" s="37">
        <f>S5/T5</f>
        <v/>
      </c>
      <c r="V5" s="32" t="n"/>
      <c r="W5" s="32" t="n">
        <v>260.28</v>
      </c>
      <c r="X5" s="32" t="n">
        <v>11</v>
      </c>
      <c r="Y5" s="32">
        <f>W5/X5</f>
        <v/>
      </c>
      <c r="Z5" s="43" t="n"/>
      <c r="AA5" s="43" t="n"/>
    </row>
    <row customHeight="1" ht="22.7" r="6" s="67" spans="1:27">
      <c r="A6" s="9" t="s">
        <v>20</v>
      </c>
      <c r="B6" s="37" t="n">
        <v>1784.04</v>
      </c>
      <c r="C6" s="37" t="n">
        <v>220</v>
      </c>
      <c r="D6" s="37">
        <f>B6/C6</f>
        <v/>
      </c>
      <c r="E6" s="37" t="n">
        <v>69.59</v>
      </c>
      <c r="F6" s="37" t="n">
        <v>11</v>
      </c>
      <c r="G6" s="37">
        <f>E6/F6</f>
        <v/>
      </c>
      <c r="H6" s="37" t="n"/>
      <c r="I6" s="37" t="n">
        <v>6754.92</v>
      </c>
      <c r="J6" s="37" t="n">
        <v>180</v>
      </c>
      <c r="K6" s="37">
        <f>I6/J6</f>
        <v/>
      </c>
      <c r="L6" s="37" t="n">
        <v>231.72</v>
      </c>
      <c r="M6" s="37" t="n">
        <v>9</v>
      </c>
      <c r="N6" s="37">
        <f>L6/M6</f>
        <v/>
      </c>
      <c r="O6" s="26" t="n"/>
      <c r="P6" s="26" t="n"/>
      <c r="Q6" s="26" t="n"/>
      <c r="R6" s="26" t="n"/>
      <c r="S6" s="37" t="n">
        <v>236.34</v>
      </c>
      <c r="T6" s="37" t="n">
        <v>9</v>
      </c>
      <c r="U6" s="37">
        <f>S6/T6</f>
        <v/>
      </c>
      <c r="V6" s="32" t="n"/>
      <c r="W6" s="32" t="n">
        <v>168.66</v>
      </c>
      <c r="X6" s="32" t="n">
        <v>11</v>
      </c>
      <c r="Y6" s="32">
        <f>W6/X6</f>
        <v/>
      </c>
      <c r="Z6" s="43" t="n"/>
      <c r="AA6" s="43" t="n"/>
    </row>
    <row customHeight="1" ht="22.7" r="7" s="67" spans="1:27">
      <c r="A7" s="9" t="s">
        <v>21</v>
      </c>
      <c r="B7" s="37" t="n"/>
      <c r="C7" s="37" t="n">
        <v>220</v>
      </c>
      <c r="D7" s="37">
        <f>B7/C7</f>
        <v/>
      </c>
      <c r="E7" s="37" t="n">
        <v>76.48999999999999</v>
      </c>
      <c r="F7" s="37" t="n">
        <v>11</v>
      </c>
      <c r="G7" s="37">
        <f>E7/F7</f>
        <v/>
      </c>
      <c r="H7" s="37" t="n"/>
      <c r="I7" s="37" t="n"/>
      <c r="J7" s="37" t="n">
        <v>180</v>
      </c>
      <c r="K7" s="37" t="n"/>
      <c r="L7" s="37" t="n">
        <v>248.02</v>
      </c>
      <c r="M7" s="37" t="n">
        <v>9</v>
      </c>
      <c r="N7" s="37">
        <f>L7/M7</f>
        <v/>
      </c>
      <c r="O7" s="26" t="n"/>
      <c r="P7" s="26" t="n"/>
      <c r="Q7" s="26" t="n"/>
      <c r="R7" s="26" t="n"/>
      <c r="S7" s="37" t="n">
        <v>245.22</v>
      </c>
      <c r="T7" s="37" t="n">
        <v>9</v>
      </c>
      <c r="U7" s="37">
        <f>S7/T7</f>
        <v/>
      </c>
      <c r="V7" s="32" t="n"/>
      <c r="W7" s="32" t="n">
        <v>180.31</v>
      </c>
      <c r="X7" s="32" t="n">
        <v>11</v>
      </c>
      <c r="Y7" s="32">
        <f>W7/X7</f>
        <v/>
      </c>
      <c r="Z7" s="43" t="n"/>
      <c r="AA7" s="43" t="n"/>
    </row>
    <row customHeight="1" ht="22.7" r="8" s="67" spans="1:27">
      <c r="A8" s="9" t="s">
        <v>23</v>
      </c>
      <c r="B8" s="37" t="n"/>
      <c r="C8" s="37" t="n">
        <v>220</v>
      </c>
      <c r="D8" s="37">
        <f>B8/C8</f>
        <v/>
      </c>
      <c r="E8" s="37" t="n">
        <v>105.96</v>
      </c>
      <c r="F8" s="37" t="n">
        <v>11</v>
      </c>
      <c r="G8" s="37">
        <f>E8/F8</f>
        <v/>
      </c>
      <c r="H8" s="37" t="n"/>
      <c r="I8" s="37" t="n"/>
      <c r="J8" s="37" t="n">
        <v>180</v>
      </c>
      <c r="K8" s="37" t="n"/>
      <c r="L8" s="37" t="n">
        <v>379.02</v>
      </c>
      <c r="M8" s="37" t="n">
        <v>9</v>
      </c>
      <c r="N8" s="37">
        <f>L8/M8</f>
        <v/>
      </c>
      <c r="O8" s="37" t="n">
        <v>36.74</v>
      </c>
      <c r="P8" s="26" t="n"/>
      <c r="Q8" s="26" t="n"/>
      <c r="R8" s="26" t="n"/>
      <c r="S8" s="37" t="n">
        <v>411.72</v>
      </c>
      <c r="T8" s="37" t="n">
        <v>9</v>
      </c>
      <c r="U8" s="37">
        <f>S8/T8</f>
        <v/>
      </c>
      <c r="V8" s="32" t="n"/>
      <c r="W8" s="32" t="n">
        <v>322.22</v>
      </c>
      <c r="X8" s="32" t="n">
        <v>11</v>
      </c>
      <c r="Y8" s="32">
        <f>W8/X8</f>
        <v/>
      </c>
      <c r="Z8" s="43" t="n"/>
      <c r="AA8" s="43" t="n"/>
    </row>
    <row customHeight="1" ht="22.7" r="9" s="67" spans="1:27">
      <c r="A9" s="9" t="s">
        <v>25</v>
      </c>
      <c r="B9" s="37" t="n"/>
      <c r="C9" s="37" t="n">
        <v>220</v>
      </c>
      <c r="D9" s="37">
        <f>B9/C9</f>
        <v/>
      </c>
      <c r="E9" s="37" t="n">
        <v>126.46</v>
      </c>
      <c r="F9" s="37" t="n">
        <v>11</v>
      </c>
      <c r="G9" s="37">
        <f>E9/F9</f>
        <v/>
      </c>
      <c r="H9" s="37" t="n"/>
      <c r="I9" s="37" t="n"/>
      <c r="J9" s="37" t="n">
        <v>180</v>
      </c>
      <c r="K9" s="37" t="n"/>
      <c r="L9" s="37" t="n">
        <v>212.66</v>
      </c>
      <c r="M9" s="37" t="n">
        <v>9</v>
      </c>
      <c r="N9" s="37">
        <f>L9/M9</f>
        <v/>
      </c>
      <c r="O9" s="26" t="n"/>
      <c r="P9" s="26" t="n"/>
      <c r="Q9" s="26" t="n"/>
      <c r="R9" s="26" t="n"/>
      <c r="S9" s="37" t="n">
        <v>447.13</v>
      </c>
      <c r="T9" s="37" t="n">
        <v>9</v>
      </c>
      <c r="U9" s="37">
        <f>S9/T9</f>
        <v/>
      </c>
      <c r="V9" s="32" t="n"/>
      <c r="W9" s="32" t="n">
        <v>313.94</v>
      </c>
      <c r="X9" s="32" t="n">
        <v>11</v>
      </c>
      <c r="Y9" s="32">
        <f>W9/X9</f>
        <v/>
      </c>
      <c r="Z9" s="43" t="n"/>
      <c r="AA9" s="43" t="n"/>
    </row>
    <row customHeight="1" ht="22.7" r="10" s="67" spans="1:27">
      <c r="A10" s="9" t="s">
        <v>26</v>
      </c>
      <c r="B10" s="26" t="n"/>
      <c r="C10" s="37" t="n">
        <v>220</v>
      </c>
      <c r="D10" s="37">
        <f>B10/C10</f>
        <v/>
      </c>
      <c r="E10" s="37" t="n">
        <v>76.55</v>
      </c>
      <c r="F10" s="37" t="n">
        <v>11</v>
      </c>
      <c r="G10" s="37">
        <f>E10/F10</f>
        <v/>
      </c>
      <c r="H10" s="26" t="n"/>
      <c r="I10" s="26" t="n"/>
      <c r="J10" s="37" t="n">
        <v>180</v>
      </c>
      <c r="K10" s="26" t="n"/>
      <c r="L10" s="37" t="n">
        <v>265.3</v>
      </c>
      <c r="M10" s="37" t="n">
        <v>9</v>
      </c>
      <c r="N10" s="37">
        <f>L10/M10</f>
        <v/>
      </c>
      <c r="O10" s="26" t="n"/>
      <c r="P10" s="26" t="n"/>
      <c r="Q10" s="26" t="n"/>
      <c r="R10" s="26" t="n"/>
      <c r="S10" s="37" t="n">
        <v>267.01</v>
      </c>
      <c r="T10" s="37" t="n">
        <v>9</v>
      </c>
      <c r="U10" s="37">
        <f>S10/T10</f>
        <v/>
      </c>
      <c r="V10" s="32" t="n"/>
      <c r="W10" s="32" t="n">
        <v>186.7</v>
      </c>
      <c r="X10" s="32" t="n">
        <v>11</v>
      </c>
      <c r="Y10" s="32">
        <f>W10/X10</f>
        <v/>
      </c>
      <c r="Z10" s="43" t="n"/>
      <c r="AA10" s="43" t="n"/>
    </row>
    <row customHeight="1" ht="22.7" r="11" s="67" spans="1:27">
      <c r="A11" s="9" t="s">
        <v>27</v>
      </c>
      <c r="B11" s="26" t="n">
        <v>2818.22</v>
      </c>
      <c r="C11" s="37" t="n">
        <v>220</v>
      </c>
      <c r="D11" s="37">
        <f>B11/C11</f>
        <v/>
      </c>
      <c r="E11" s="68" t="n">
        <v>70.51000000000001</v>
      </c>
      <c r="F11" s="37" t="n">
        <v>11</v>
      </c>
      <c r="G11" s="37">
        <f>E11/F11</f>
        <v/>
      </c>
      <c r="H11" s="26" t="n"/>
      <c r="I11" s="26" t="n"/>
      <c r="J11" s="37" t="n">
        <v>180</v>
      </c>
      <c r="K11" s="26" t="n"/>
      <c r="L11" s="37" t="n">
        <v>240.66</v>
      </c>
      <c r="M11" s="37" t="n">
        <v>9</v>
      </c>
      <c r="N11" s="37">
        <f>L11/M11</f>
        <v/>
      </c>
      <c r="O11" s="26" t="n"/>
      <c r="P11" s="26" t="n"/>
      <c r="Q11" s="26" t="n"/>
      <c r="R11" s="26" t="n"/>
      <c r="S11" s="37" t="n">
        <v>242.67</v>
      </c>
      <c r="T11" s="37" t="n">
        <v>9</v>
      </c>
      <c r="U11" s="37">
        <f>S11/T11</f>
        <v/>
      </c>
      <c r="V11" s="69" t="n"/>
      <c r="W11" s="69" t="n">
        <v>172.85</v>
      </c>
      <c r="X11" s="32" t="n">
        <v>11</v>
      </c>
      <c r="Y11" s="32">
        <f>W11/X11</f>
        <v/>
      </c>
      <c r="Z11" s="43" t="n"/>
      <c r="AA11" s="43" t="n"/>
    </row>
    <row r="12" spans="1:27">
      <c r="V12" s="46" t="n"/>
      <c r="W12" s="46" t="n"/>
    </row>
    <row r="13" spans="1:27">
      <c r="V13" s="46" t="n"/>
      <c r="W13" s="46" t="n"/>
    </row>
    <row r="14" spans="1:27">
      <c r="V14" s="46" t="n"/>
      <c r="W14" s="46" t="n"/>
    </row>
    <row r="15" spans="1:27">
      <c r="V15" s="46" t="n"/>
      <c r="W15" s="46" t="n"/>
    </row>
    <row r="16" spans="1:27">
      <c r="V16" s="46" t="n"/>
      <c r="W16" s="46" t="n"/>
    </row>
    <row r="17" spans="1:27">
      <c r="V17" s="46" t="n"/>
      <c r="W17" s="46" t="n"/>
    </row>
    <row r="18" spans="1:27">
      <c r="V18" s="46" t="n"/>
      <c r="W18" s="46" t="n"/>
    </row>
    <row r="19" spans="1:27">
      <c r="V19" s="46" t="n"/>
      <c r="W19" s="46" t="n"/>
    </row>
    <row r="20" spans="1:27">
      <c r="V20" s="46" t="n"/>
      <c r="W20" s="46" t="n"/>
    </row>
  </sheetData>
  <mergeCells count="4">
    <mergeCell ref="B1:G1"/>
    <mergeCell ref="I1:N1"/>
    <mergeCell ref="P1:U1"/>
    <mergeCell ref="W1:Y1"/>
  </mergeCells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6"/>
  <sheetViews>
    <sheetView topLeftCell="A18" workbookViewId="0">
      <selection activeCell="F47" sqref="F47"/>
    </sheetView>
  </sheetViews>
  <sheetFormatPr baseColWidth="8" defaultColWidth="8.72972972972973" defaultRowHeight="14.1" outlineLevelCol="0"/>
  <cols>
    <col customWidth="1" max="1" min="1" style="67" width="35.3603603603604"/>
    <col customWidth="1" max="2" min="2" style="67" width="9"/>
    <col customWidth="1" max="3" min="3" style="67" width="11.4504504504505"/>
    <col customWidth="1" max="6" min="4" style="67" width="10.3603603603604"/>
    <col customWidth="1" hidden="1" max="8" min="7" style="67" width="10.3603603603604"/>
    <col customWidth="1" max="11" min="9" style="67" width="10.3603603603604"/>
    <col customWidth="1" hidden="1" max="13" min="12" style="67" width="10.3603603603604"/>
    <col customWidth="1" max="16" min="14" style="67" width="10.3603603603604"/>
    <col customWidth="1" hidden="1" max="18" min="17" style="67" width="10.3603603603604"/>
    <col customWidth="1" max="23" min="19" style="67" width="10.3603603603604"/>
  </cols>
  <sheetData>
    <row customHeight="1" ht="41" r="1" s="67" spans="1:25">
      <c r="A1" s="1" t="s">
        <v>0</v>
      </c>
      <c r="B1" s="1" t="s">
        <v>1</v>
      </c>
      <c r="C1" s="1" t="s">
        <v>2</v>
      </c>
      <c r="D1" s="2" t="s">
        <v>46</v>
      </c>
      <c r="I1" s="2" t="s">
        <v>47</v>
      </c>
      <c r="N1" s="2" t="s">
        <v>48</v>
      </c>
      <c r="S1" s="2" t="s">
        <v>49</v>
      </c>
      <c r="X1" s="5" t="n"/>
      <c r="Y1" s="5" t="n"/>
    </row>
    <row customHeight="1" ht="27.25" r="2" s="67" spans="1:25">
      <c r="A2" s="6" t="n"/>
      <c r="B2" s="7" t="n"/>
      <c r="C2" s="7" t="n"/>
      <c r="D2" s="7" t="s">
        <v>7</v>
      </c>
      <c r="E2" s="7" t="s">
        <v>8</v>
      </c>
      <c r="F2" s="7" t="s">
        <v>9</v>
      </c>
      <c r="G2" s="7" t="s">
        <v>10</v>
      </c>
      <c r="H2" s="7" t="s">
        <v>50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50</v>
      </c>
      <c r="N2" s="7" t="s">
        <v>7</v>
      </c>
      <c r="O2" s="7" t="s">
        <v>8</v>
      </c>
      <c r="P2" s="7" t="s">
        <v>9</v>
      </c>
      <c r="Q2" s="7" t="s">
        <v>10</v>
      </c>
      <c r="R2" s="7" t="s">
        <v>50</v>
      </c>
      <c r="S2" s="7" t="s">
        <v>7</v>
      </c>
      <c r="T2" s="7" t="s">
        <v>8</v>
      </c>
      <c r="U2" s="7" t="s">
        <v>9</v>
      </c>
      <c r="V2" s="7" t="s">
        <v>10</v>
      </c>
      <c r="W2" s="7" t="s">
        <v>50</v>
      </c>
      <c r="Y2" s="8" t="s">
        <v>51</v>
      </c>
    </row>
    <row customHeight="1" ht="27.25" r="3" s="67" spans="1:25">
      <c r="A3" s="9" t="s">
        <v>52</v>
      </c>
      <c r="B3" s="16" t="n"/>
      <c r="C3" s="16" t="n"/>
      <c r="D3" s="11" t="n">
        <v>89.48</v>
      </c>
      <c r="E3" s="11" t="n">
        <v>12.81</v>
      </c>
      <c r="F3" s="11" t="n">
        <v>30.04</v>
      </c>
      <c r="G3" s="11" t="n">
        <v>76.67</v>
      </c>
      <c r="H3" s="11" t="n">
        <v>22.41</v>
      </c>
      <c r="I3" s="11" t="n">
        <v>92.08</v>
      </c>
      <c r="J3" s="11" t="n">
        <v>42.82</v>
      </c>
      <c r="K3" s="11" t="n">
        <v>67.61</v>
      </c>
      <c r="L3" s="11" t="n">
        <v>49.26</v>
      </c>
      <c r="M3" s="11" t="n">
        <v>58.46</v>
      </c>
      <c r="N3" s="11" t="n">
        <v>94.59999999999999</v>
      </c>
      <c r="O3" s="11" t="n">
        <v>66.11</v>
      </c>
      <c r="P3" s="11" t="n">
        <v>79.56</v>
      </c>
      <c r="Q3" s="11">
        <f>N3-O3</f>
        <v/>
      </c>
      <c r="R3" s="11">
        <f>2*N3*O3/(N3+O3)</f>
        <v/>
      </c>
      <c r="S3" s="11" t="n">
        <v>83.02</v>
      </c>
      <c r="T3" s="11" t="n">
        <v>14.97</v>
      </c>
      <c r="U3" s="12" t="n">
        <v>32.18</v>
      </c>
      <c r="V3" s="11">
        <f>S3-T3</f>
        <v/>
      </c>
      <c r="W3" s="11">
        <f>2*S3*T3/(S3+T3)</f>
        <v/>
      </c>
    </row>
    <row customHeight="1" ht="27.25" r="4" s="67" spans="1:25">
      <c r="A4" s="9" t="s">
        <v>14</v>
      </c>
      <c r="B4" s="16" t="n"/>
      <c r="C4" s="16" t="n"/>
      <c r="D4" s="11" t="n">
        <v>91.5</v>
      </c>
      <c r="E4" s="11" t="n">
        <v>76.20999999999999</v>
      </c>
      <c r="F4" s="11" t="n">
        <v>82.72</v>
      </c>
      <c r="G4" s="11" t="n">
        <v>15.29</v>
      </c>
      <c r="H4" s="11" t="n">
        <v>83.16</v>
      </c>
      <c r="I4" s="11" t="n">
        <v>83.63</v>
      </c>
      <c r="J4" s="11" t="n">
        <v>69.43000000000001</v>
      </c>
      <c r="K4" s="11" t="n">
        <v>75.51000000000001</v>
      </c>
      <c r="L4" s="11" t="n">
        <v>50.26</v>
      </c>
      <c r="M4" s="11" t="n">
        <v>75.87</v>
      </c>
      <c r="N4" s="11" t="n">
        <v>88.42</v>
      </c>
      <c r="O4" s="11" t="n">
        <v>72.22</v>
      </c>
      <c r="P4" s="11" t="n">
        <v>78.95</v>
      </c>
      <c r="Q4" s="11">
        <f>N4-O4</f>
        <v/>
      </c>
      <c r="R4" s="11">
        <f>2*N4*O4/(N4+O4)</f>
        <v/>
      </c>
      <c r="S4" s="11" t="n">
        <v>57.59</v>
      </c>
      <c r="T4" s="11" t="n">
        <v>39.68</v>
      </c>
      <c r="U4" s="12" t="n">
        <v>46.59</v>
      </c>
      <c r="V4" s="11">
        <f>S4-T4</f>
        <v/>
      </c>
      <c r="W4" s="11">
        <f>2*S4*T4/(S4+T4)</f>
        <v/>
      </c>
    </row>
    <row customHeight="1" ht="27.25" r="5" s="67" spans="1:25">
      <c r="A5" s="9" t="s">
        <v>15</v>
      </c>
      <c r="B5" s="14" t="s">
        <v>16</v>
      </c>
      <c r="C5" s="14" t="n">
        <v>2022</v>
      </c>
      <c r="D5" s="11" t="n">
        <v>91.5</v>
      </c>
      <c r="E5" s="11" t="n">
        <v>61.45</v>
      </c>
      <c r="F5" s="11" t="n">
        <v>74.62</v>
      </c>
      <c r="G5" s="11" t="n">
        <v>30.05</v>
      </c>
      <c r="H5" s="11" t="n">
        <v>73.52</v>
      </c>
      <c r="I5" s="11" t="n">
        <v>93.43000000000001</v>
      </c>
      <c r="J5" s="11" t="n">
        <v>69.31</v>
      </c>
      <c r="K5" s="11" t="n">
        <v>80.61</v>
      </c>
      <c r="L5" s="11" t="n">
        <v>51.26</v>
      </c>
      <c r="M5" s="11" t="n">
        <v>79.58</v>
      </c>
      <c r="N5" s="11" t="n">
        <v>96.53</v>
      </c>
      <c r="O5" s="11" t="n">
        <v>77.08</v>
      </c>
      <c r="P5" s="11" t="n">
        <v>85.70999999999999</v>
      </c>
      <c r="Q5" s="11">
        <f>N5-O5</f>
        <v/>
      </c>
      <c r="R5" s="11">
        <f>2*N5*O5/(N5+O5)</f>
        <v/>
      </c>
      <c r="S5" s="11" t="n">
        <v>78.19</v>
      </c>
      <c r="T5" s="11" t="n">
        <v>55.45</v>
      </c>
      <c r="U5" s="12" t="n">
        <v>64.95</v>
      </c>
      <c r="V5" s="11">
        <f>S5-T5</f>
        <v/>
      </c>
      <c r="W5" s="11">
        <f>2*S5*T5/(S5+T5)</f>
        <v/>
      </c>
    </row>
    <row customHeight="1" ht="27.25" r="6" s="67" spans="1:25">
      <c r="A6" s="9" t="s">
        <v>17</v>
      </c>
      <c r="B6" s="14" t="n"/>
      <c r="C6" s="14" t="n"/>
      <c r="D6" s="11" t="n">
        <v>91.5</v>
      </c>
      <c r="E6" s="11" t="n">
        <v>69.3</v>
      </c>
      <c r="F6" s="11" t="n">
        <v>53.65</v>
      </c>
      <c r="G6" s="11" t="n">
        <v>31.05</v>
      </c>
      <c r="H6" s="11" t="n">
        <v>78.87</v>
      </c>
      <c r="I6" s="11" t="n">
        <v>94.05</v>
      </c>
      <c r="J6" s="11" t="n">
        <v>57.1</v>
      </c>
      <c r="K6" s="11" t="n">
        <v>73.11</v>
      </c>
      <c r="L6" s="11" t="n">
        <v>52.26</v>
      </c>
      <c r="M6" s="11" t="n">
        <v>71.06</v>
      </c>
      <c r="N6" s="11" t="n">
        <v>97.15000000000001</v>
      </c>
      <c r="O6" s="11" t="n">
        <v>65.55</v>
      </c>
      <c r="P6" s="11" t="n">
        <v>78.83</v>
      </c>
      <c r="Q6" s="11">
        <f>N6-O6</f>
        <v/>
      </c>
      <c r="R6" s="11">
        <f>2*N6*O6/(N6+O6)</f>
        <v/>
      </c>
      <c r="S6" s="14" t="n"/>
      <c r="T6" s="14" t="n"/>
      <c r="U6" s="52" t="n"/>
      <c r="V6" s="11" t="n"/>
      <c r="W6" s="11" t="n"/>
    </row>
    <row customHeight="1" ht="27.25" r="7" s="67" spans="1:25">
      <c r="A7" s="9" t="s">
        <v>18</v>
      </c>
      <c r="B7" s="14" t="s">
        <v>19</v>
      </c>
      <c r="C7" s="14" t="n">
        <v>2023</v>
      </c>
      <c r="D7" s="11" t="n">
        <v>91.08</v>
      </c>
      <c r="E7" s="11" t="n">
        <v>48.85</v>
      </c>
      <c r="F7" s="11" t="n">
        <v>66.13</v>
      </c>
      <c r="G7" s="11" t="n">
        <v>42.23</v>
      </c>
      <c r="H7" s="11" t="n">
        <v>63.59</v>
      </c>
      <c r="I7" s="11" t="n">
        <v>92.67</v>
      </c>
      <c r="J7" s="11" t="n">
        <v>54.84</v>
      </c>
      <c r="K7" s="11" t="n">
        <v>70.14</v>
      </c>
      <c r="L7" s="11" t="n">
        <v>53.26</v>
      </c>
      <c r="M7" s="11" t="n">
        <v>68.90000000000001</v>
      </c>
      <c r="N7" s="11" t="n">
        <v>95.73</v>
      </c>
      <c r="O7" s="11" t="n">
        <v>60.99</v>
      </c>
      <c r="P7" s="11" t="n">
        <v>75.76000000000001</v>
      </c>
      <c r="Q7" s="11">
        <f>N7-O7</f>
        <v/>
      </c>
      <c r="R7" s="11">
        <f>2*N7*O7/(N7+O7)</f>
        <v/>
      </c>
      <c r="S7" s="11" t="n">
        <v>77.45</v>
      </c>
      <c r="T7" s="11" t="n">
        <v>39.08</v>
      </c>
      <c r="U7" s="12" t="n">
        <v>53.72</v>
      </c>
      <c r="V7" s="11">
        <f>S7-T7</f>
        <v/>
      </c>
      <c r="W7" s="11">
        <f>2*S7*T7/(S7+T7)</f>
        <v/>
      </c>
    </row>
    <row customHeight="1" ht="27.25" r="8" s="67" spans="1:25">
      <c r="A8" s="9" t="s">
        <v>20</v>
      </c>
      <c r="B8" s="14" t="s">
        <v>16</v>
      </c>
      <c r="C8" s="14" t="n">
        <v>2024</v>
      </c>
      <c r="D8" s="11" t="n">
        <v>92.17</v>
      </c>
      <c r="E8" s="11" t="n">
        <v>41.65</v>
      </c>
      <c r="F8" s="11" t="n">
        <v>64.25</v>
      </c>
      <c r="G8" s="11" t="n">
        <v>50.52</v>
      </c>
      <c r="H8" s="11" t="n">
        <v>57.37</v>
      </c>
      <c r="I8" s="11" t="n">
        <v>93.83</v>
      </c>
      <c r="J8" s="11" t="n">
        <v>57</v>
      </c>
      <c r="K8" s="11" t="n">
        <v>73.88</v>
      </c>
      <c r="L8" s="11" t="n">
        <v>54.26</v>
      </c>
      <c r="M8" s="11" t="n">
        <v>70.92</v>
      </c>
      <c r="N8" s="11" t="n">
        <v>97.34</v>
      </c>
      <c r="O8" s="11" t="n">
        <v>51.38</v>
      </c>
      <c r="P8" s="11" t="n">
        <v>71.5</v>
      </c>
      <c r="Q8" s="11">
        <f>N8-O8</f>
        <v/>
      </c>
      <c r="R8" s="11">
        <f>2*N8*O8/(N8+O8)</f>
        <v/>
      </c>
      <c r="S8" s="11" t="n">
        <v>84.66</v>
      </c>
      <c r="T8" s="11" t="n">
        <v>37.75</v>
      </c>
      <c r="U8" s="12" t="n">
        <v>56.61</v>
      </c>
      <c r="V8" s="11">
        <f>S8-T8</f>
        <v/>
      </c>
      <c r="W8" s="11">
        <f>2*S8*T8/(S8+T8)</f>
        <v/>
      </c>
    </row>
    <row customHeight="1" ht="27.25" r="9" s="67" spans="1:25">
      <c r="A9" s="9" t="s">
        <v>21</v>
      </c>
      <c r="B9" s="16" t="s">
        <v>22</v>
      </c>
      <c r="C9" s="16" t="n">
        <v>2025</v>
      </c>
      <c r="D9" s="11" t="n">
        <v>91.92</v>
      </c>
      <c r="E9" s="11" t="n">
        <v>56.28</v>
      </c>
      <c r="F9" s="11" t="n">
        <v>70.87</v>
      </c>
      <c r="G9" s="11" t="n">
        <v>35.64</v>
      </c>
      <c r="H9" s="11" t="n">
        <v>69.81</v>
      </c>
      <c r="I9" s="11" t="n">
        <v>93.59999999999999</v>
      </c>
      <c r="J9" s="11" t="n">
        <v>73.51000000000001</v>
      </c>
      <c r="K9" s="11" t="n">
        <v>78.42</v>
      </c>
      <c r="L9" s="11" t="n">
        <v>55.26</v>
      </c>
      <c r="M9" s="11" t="n">
        <v>82.34999999999999</v>
      </c>
      <c r="N9" s="11" t="n">
        <v>97.22</v>
      </c>
      <c r="O9" s="11" t="n">
        <v>79.06999999999999</v>
      </c>
      <c r="P9" s="11" t="n">
        <v>84.36</v>
      </c>
      <c r="Q9" s="11">
        <f>N9-O9</f>
        <v/>
      </c>
      <c r="R9" s="11">
        <f>2*N9*O9/(N9+O9)</f>
        <v/>
      </c>
      <c r="S9" s="14" t="n"/>
      <c r="T9" s="14" t="n"/>
      <c r="U9" s="52" t="n"/>
      <c r="V9" s="11" t="n"/>
      <c r="W9" s="11" t="n"/>
    </row>
    <row customHeight="1" ht="27.25" r="10" s="67" spans="1:25">
      <c r="A10" s="17" t="s">
        <v>35</v>
      </c>
      <c r="B10" s="19" t="s">
        <v>19</v>
      </c>
      <c r="C10" s="19" t="n">
        <v>2023</v>
      </c>
      <c r="D10" s="23" t="n">
        <v>80.20999999999999</v>
      </c>
      <c r="E10" s="23" t="n">
        <v>63.32</v>
      </c>
      <c r="F10" s="23" t="n">
        <v>69.37</v>
      </c>
      <c r="G10" s="11" t="n">
        <v>16.89</v>
      </c>
      <c r="H10" s="11" t="n">
        <v>70.77</v>
      </c>
      <c r="I10" s="23" t="n">
        <v>88.31999999999999</v>
      </c>
      <c r="J10" s="23" t="n">
        <v>79.98999999999999</v>
      </c>
      <c r="K10" s="23" t="n">
        <v>83.38</v>
      </c>
      <c r="L10" s="11" t="n">
        <v>56.26</v>
      </c>
      <c r="M10" s="11" t="n">
        <v>83.95</v>
      </c>
      <c r="N10" s="23" t="n">
        <v>90.14</v>
      </c>
      <c r="O10" s="23" t="n">
        <v>81.55</v>
      </c>
      <c r="P10" s="23" t="n">
        <v>85.54000000000001</v>
      </c>
      <c r="Q10" s="11">
        <f>N10-O10</f>
        <v/>
      </c>
      <c r="R10" s="11">
        <f>2*N10*O10/(N10+O10)</f>
        <v/>
      </c>
      <c r="S10" s="19" t="n"/>
      <c r="T10" s="19" t="n"/>
      <c r="U10" s="54" t="n"/>
      <c r="V10" s="11" t="n"/>
      <c r="W10" s="11" t="n"/>
    </row>
    <row customHeight="1" ht="27.25" r="11" s="67" spans="1:25">
      <c r="A11" s="9" t="s">
        <v>23</v>
      </c>
      <c r="B11" s="14" t="s">
        <v>24</v>
      </c>
      <c r="C11" s="14" t="n">
        <v>2024</v>
      </c>
      <c r="D11" s="11" t="n">
        <v>87.28</v>
      </c>
      <c r="E11" s="11" t="n">
        <v>83.04000000000001</v>
      </c>
      <c r="F11" s="11" t="n">
        <v>83.68000000000001</v>
      </c>
      <c r="G11" s="11" t="n">
        <v>4.24</v>
      </c>
      <c r="H11" s="11" t="n">
        <v>85.11</v>
      </c>
      <c r="I11" s="11" t="n">
        <v>91.90000000000001</v>
      </c>
      <c r="J11" s="11" t="n">
        <v>85.98999999999999</v>
      </c>
      <c r="K11" s="11" t="n">
        <v>88.59</v>
      </c>
      <c r="L11" s="11" t="n">
        <v>57.26</v>
      </c>
      <c r="M11" s="11" t="n">
        <v>88.84999999999999</v>
      </c>
      <c r="N11" s="11" t="n">
        <v>96.52</v>
      </c>
      <c r="O11" s="11" t="n">
        <v>94.06999999999999</v>
      </c>
      <c r="P11" s="11" t="n">
        <v>95.26000000000001</v>
      </c>
      <c r="Q11" s="11">
        <f>N11-O11</f>
        <v/>
      </c>
      <c r="R11" s="11">
        <f>2*N11*O11/(N11+O11)</f>
        <v/>
      </c>
      <c r="S11" s="11" t="n">
        <v>82.2</v>
      </c>
      <c r="T11" s="11" t="n">
        <v>69.72</v>
      </c>
      <c r="U11" s="12" t="n">
        <v>74.79000000000001</v>
      </c>
      <c r="V11" s="11">
        <f>S11-T11</f>
        <v/>
      </c>
      <c r="W11" s="11">
        <f>2*S11*T11/(S11+T11)</f>
        <v/>
      </c>
    </row>
    <row customHeight="1" ht="27.25" r="12" s="67" spans="1:25">
      <c r="A12" s="9" t="s">
        <v>33</v>
      </c>
      <c r="B12" s="14" t="n"/>
      <c r="C12" s="14" t="n"/>
      <c r="D12" s="11" t="n">
        <v>82.20999999999999</v>
      </c>
      <c r="E12" s="11" t="n">
        <v>75.08</v>
      </c>
      <c r="F12" s="11" t="n">
        <v>77.5</v>
      </c>
      <c r="G12" s="11" t="n">
        <v>5.24</v>
      </c>
      <c r="H12" s="11" t="n">
        <v>78.48</v>
      </c>
      <c r="I12" s="11" t="n">
        <v>90.88</v>
      </c>
      <c r="J12" s="11" t="n">
        <v>86.06</v>
      </c>
      <c r="K12" s="11" t="n">
        <v>88.08</v>
      </c>
      <c r="L12" s="11" t="n">
        <v>58.26</v>
      </c>
      <c r="M12" s="11" t="n">
        <v>88.40000000000001</v>
      </c>
      <c r="N12" s="11" t="n">
        <v>96.68000000000001</v>
      </c>
      <c r="O12" s="11" t="n">
        <v>94.09999999999999</v>
      </c>
      <c r="P12" s="11" t="n">
        <v>95.27</v>
      </c>
      <c r="Q12" s="11">
        <f>N12-O12</f>
        <v/>
      </c>
      <c r="R12" s="11">
        <f>2*N12*O12/(N12+O12)</f>
        <v/>
      </c>
      <c r="S12" s="14" t="n"/>
      <c r="T12" s="14" t="n"/>
      <c r="U12" s="52" t="n"/>
      <c r="V12" s="11" t="n"/>
      <c r="W12" s="11" t="n"/>
    </row>
    <row customHeight="1" ht="27.25" r="13" s="67" spans="1:25">
      <c r="A13" s="9" t="s">
        <v>25</v>
      </c>
      <c r="B13" s="14" t="s">
        <v>16</v>
      </c>
      <c r="C13" s="14" t="n">
        <v>2025</v>
      </c>
      <c r="D13" s="11" t="n">
        <v>87.36</v>
      </c>
      <c r="E13" s="11" t="n">
        <v>83.67</v>
      </c>
      <c r="F13" s="11" t="n">
        <v>84.34999999999999</v>
      </c>
      <c r="G13" s="11" t="n">
        <v>3.69</v>
      </c>
      <c r="H13" s="11" t="n">
        <v>85.48</v>
      </c>
      <c r="I13" s="11" t="n">
        <v>91.68000000000001</v>
      </c>
      <c r="J13" s="11" t="n">
        <v>87.18000000000001</v>
      </c>
      <c r="K13" s="11" t="n">
        <v>89.2</v>
      </c>
      <c r="L13" s="11" t="n">
        <v>4.5</v>
      </c>
      <c r="M13" s="11" t="n">
        <v>89.37</v>
      </c>
      <c r="N13" s="11" t="n">
        <v>96.98</v>
      </c>
      <c r="O13" s="11" t="n">
        <v>89.88</v>
      </c>
      <c r="P13" s="11" t="n">
        <v>90.55</v>
      </c>
      <c r="Q13" s="11">
        <f>N13-O13</f>
        <v/>
      </c>
      <c r="R13" s="11">
        <f>2*N13*O13/(N13+O13)</f>
        <v/>
      </c>
      <c r="S13" s="11" t="n">
        <v>82.66</v>
      </c>
      <c r="T13" s="11" t="n">
        <v>72.7</v>
      </c>
      <c r="U13" s="12" t="n">
        <v>76.55</v>
      </c>
      <c r="V13" s="11">
        <f>S13-T13</f>
        <v/>
      </c>
      <c r="W13" s="11">
        <f>2*S13*T13/(S13+T13)</f>
        <v/>
      </c>
    </row>
    <row customHeight="1" ht="27.25" r="14" s="67" spans="1:25">
      <c r="A14" s="9" t="n"/>
      <c r="B14" s="16" t="n"/>
      <c r="C14" s="16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1" t="n"/>
      <c r="M14" s="14" t="n"/>
      <c r="N14" s="14" t="n"/>
      <c r="O14" s="14" t="n"/>
      <c r="P14" s="14" t="n"/>
      <c r="Q14" s="14" t="n"/>
      <c r="R14" s="11" t="n"/>
      <c r="S14" s="14" t="n"/>
      <c r="T14" s="14" t="n"/>
      <c r="U14" s="52" t="n"/>
      <c r="V14" s="11" t="n"/>
      <c r="W14" s="11" t="n"/>
    </row>
    <row customHeight="1" ht="27.25" r="15" s="67" spans="1:25">
      <c r="A15" s="17" t="s">
        <v>53</v>
      </c>
      <c r="B15" s="22" t="n"/>
      <c r="C15" s="22" t="n"/>
      <c r="D15" s="23" t="n">
        <v>92.68000000000001</v>
      </c>
      <c r="E15" s="23" t="n">
        <v>81.38</v>
      </c>
      <c r="F15" s="23" t="n">
        <v>86.06999999999999</v>
      </c>
      <c r="G15" s="11" t="n">
        <v>11.3</v>
      </c>
      <c r="H15" s="11" t="n">
        <v>86.66</v>
      </c>
      <c r="I15" s="23" t="n">
        <v>94.27</v>
      </c>
      <c r="J15" s="23" t="n">
        <v>83.45</v>
      </c>
      <c r="K15" s="23" t="n">
        <v>88.27</v>
      </c>
      <c r="L15" s="11" t="n">
        <v>10.82</v>
      </c>
      <c r="M15" s="11" t="n">
        <v>88.53</v>
      </c>
      <c r="N15" s="23" t="n">
        <v>96.52</v>
      </c>
      <c r="O15" s="23" t="n">
        <v>90.94</v>
      </c>
      <c r="P15" s="23" t="n">
        <v>93.02</v>
      </c>
      <c r="Q15" s="14">
        <f>N15-O15</f>
        <v/>
      </c>
      <c r="R15" s="11">
        <f>2*N15*O15/(N15+O15)</f>
        <v/>
      </c>
      <c r="S15" s="23" t="n">
        <v>85.53</v>
      </c>
      <c r="T15" s="23" t="n">
        <v>67.95</v>
      </c>
      <c r="U15" s="24" t="n">
        <v>74.87</v>
      </c>
      <c r="V15" s="11">
        <f>S15-T15</f>
        <v/>
      </c>
      <c r="W15" s="11">
        <f>2*S15*T15/(S15+T15)</f>
        <v/>
      </c>
    </row>
    <row customHeight="1" ht="27.25" r="16" s="67" spans="1:25">
      <c r="A16" s="9" t="s">
        <v>54</v>
      </c>
      <c r="B16" s="16" t="n"/>
      <c r="C16" s="16" t="n"/>
      <c r="D16" s="11" t="n">
        <v>92.09</v>
      </c>
      <c r="E16" s="11" t="n">
        <v>83.76000000000001</v>
      </c>
      <c r="F16" s="11" t="n">
        <v>87</v>
      </c>
      <c r="G16" s="11" t="n">
        <v>8.33</v>
      </c>
      <c r="H16" s="11" t="n">
        <v>87.73</v>
      </c>
      <c r="I16" s="11" t="n">
        <v>94.08</v>
      </c>
      <c r="J16" s="11" t="n">
        <v>86.20999999999999</v>
      </c>
      <c r="K16" s="11" t="n">
        <v>90.06</v>
      </c>
      <c r="L16" s="11" t="n">
        <v>7.87</v>
      </c>
      <c r="M16" s="11" t="n">
        <v>89.97</v>
      </c>
      <c r="N16" s="11" t="n">
        <v>97.12</v>
      </c>
      <c r="O16" s="11" t="n">
        <v>94.97</v>
      </c>
      <c r="P16" s="11" t="n">
        <v>95.78</v>
      </c>
      <c r="Q16" s="14">
        <f>N16-O16</f>
        <v/>
      </c>
      <c r="R16" s="11">
        <f>2*N16*O16/(N16+O16)</f>
        <v/>
      </c>
      <c r="S16" s="11" t="n">
        <v>84.59</v>
      </c>
      <c r="T16" s="11" t="n">
        <v>72.87</v>
      </c>
      <c r="U16" s="12" t="n">
        <v>77.84</v>
      </c>
      <c r="V16" s="11">
        <f>S16-T16</f>
        <v/>
      </c>
      <c r="W16" s="11">
        <f>2*S16*T16/(S16+T16)</f>
        <v/>
      </c>
      <c r="X16" s="25" t="n">
        <v>0.01</v>
      </c>
    </row>
    <row customHeight="1" ht="27.25" r="17" s="67" spans="1:25">
      <c r="A17" s="9" t="s">
        <v>55</v>
      </c>
      <c r="B17" s="26" t="n"/>
      <c r="C17" s="26" t="n"/>
      <c r="D17" s="11" t="n">
        <v>92.93000000000001</v>
      </c>
      <c r="E17" s="11" t="n">
        <v>83.20999999999999</v>
      </c>
      <c r="F17" s="11" t="n">
        <v>87.06</v>
      </c>
      <c r="G17" s="14" t="n"/>
      <c r="H17" s="11" t="n">
        <v>87.8</v>
      </c>
      <c r="I17" s="11" t="n">
        <v>93.77</v>
      </c>
      <c r="J17" s="11" t="n">
        <v>86.59</v>
      </c>
      <c r="K17" s="11" t="n">
        <v>89.61</v>
      </c>
      <c r="L17" s="14" t="n"/>
      <c r="M17" s="11" t="n">
        <v>90.04000000000001</v>
      </c>
      <c r="N17" s="11" t="n">
        <v>96.42</v>
      </c>
      <c r="O17" s="11" t="n">
        <v>92.43000000000001</v>
      </c>
      <c r="P17" s="11" t="n">
        <v>94.13</v>
      </c>
      <c r="Q17" s="14">
        <f>N17-O17</f>
        <v/>
      </c>
      <c r="R17" s="11">
        <f>2*N17*O17/(N17+O17)</f>
        <v/>
      </c>
      <c r="S17" s="11" t="n">
        <v>83.08</v>
      </c>
      <c r="T17" s="11" t="n">
        <v>67.75</v>
      </c>
      <c r="U17" s="12" t="n">
        <v>73.86</v>
      </c>
      <c r="V17" s="11">
        <f>S17-T17</f>
        <v/>
      </c>
      <c r="W17" s="11">
        <f>2*S17*T17/(S17+T17)</f>
        <v/>
      </c>
    </row>
    <row customHeight="1" ht="27.25" r="18" s="67" spans="1:25">
      <c r="A18" s="9" t="s">
        <v>56</v>
      </c>
      <c r="B18" s="26" t="n"/>
      <c r="C18" s="26" t="n"/>
      <c r="D18" s="11" t="n">
        <v>92.34</v>
      </c>
      <c r="E18" s="11" t="n">
        <v>83.72</v>
      </c>
      <c r="F18" s="11" t="n">
        <v>87.11</v>
      </c>
      <c r="G18" s="11" t="n">
        <v>8.619999999999999</v>
      </c>
      <c r="H18" s="11" t="n">
        <v>87.81999999999999</v>
      </c>
      <c r="I18" s="11" t="n">
        <v>93.87</v>
      </c>
      <c r="J18" s="11" t="n">
        <v>87.7</v>
      </c>
      <c r="K18" s="11" t="n">
        <v>90.31</v>
      </c>
      <c r="L18" s="11" t="n">
        <v>6.17</v>
      </c>
      <c r="M18" s="11" t="n">
        <v>90.68000000000001</v>
      </c>
      <c r="N18" s="11" t="n">
        <v>97.17</v>
      </c>
      <c r="O18" s="11" t="n">
        <v>94.97</v>
      </c>
      <c r="P18" s="11" t="n">
        <v>95.86</v>
      </c>
      <c r="Q18" s="14">
        <f>N18-O18</f>
        <v/>
      </c>
      <c r="R18" s="11">
        <f>2*N18*O18/(N18+O18)</f>
        <v/>
      </c>
      <c r="S18" s="11" t="n">
        <v>84.92</v>
      </c>
      <c r="T18" s="11" t="n">
        <v>72.05</v>
      </c>
      <c r="U18" s="12" t="n">
        <v>77.5</v>
      </c>
      <c r="V18" s="11">
        <f>S18-T18</f>
        <v/>
      </c>
      <c r="W18" s="11">
        <f>2*S18*T18/(S18+T18)</f>
        <v/>
      </c>
    </row>
    <row customHeight="1" ht="27.25" r="19" s="67" spans="1:25">
      <c r="A19" s="9" t="s">
        <v>57</v>
      </c>
      <c r="B19" s="26" t="n"/>
      <c r="C19" s="26" t="n"/>
      <c r="D19" s="11" t="n">
        <v>92.84999999999999</v>
      </c>
      <c r="E19" s="11" t="n">
        <v>83.63</v>
      </c>
      <c r="F19" s="11" t="n">
        <v>87.20999999999999</v>
      </c>
      <c r="G19" s="14" t="n"/>
      <c r="H19" s="11" t="n">
        <v>88</v>
      </c>
      <c r="I19" s="11" t="n">
        <v>93.73</v>
      </c>
      <c r="J19" s="11" t="n">
        <v>86.78</v>
      </c>
      <c r="K19" s="11" t="n">
        <v>89.75</v>
      </c>
      <c r="L19" s="14" t="n"/>
      <c r="M19" s="11" t="n">
        <v>90.12</v>
      </c>
      <c r="N19" s="11" t="n">
        <v>96.58</v>
      </c>
      <c r="O19" s="11" t="n">
        <v>92.7</v>
      </c>
      <c r="P19" s="11" t="n">
        <v>94.34</v>
      </c>
      <c r="Q19" s="14">
        <f>N19-O19</f>
        <v/>
      </c>
      <c r="R19" s="11">
        <f>2*N19*O19/(N19+O19)</f>
        <v/>
      </c>
      <c r="S19" s="11" t="n">
        <v>85.03</v>
      </c>
      <c r="T19" s="11" t="n">
        <v>69.55</v>
      </c>
      <c r="U19" s="12" t="n">
        <v>75.48999999999999</v>
      </c>
      <c r="V19" s="11">
        <f>S19-T19</f>
        <v/>
      </c>
      <c r="W19" s="11">
        <f>2*S19*T19/(S19+T19)</f>
        <v/>
      </c>
    </row>
    <row customHeight="1" ht="27.25" r="20" s="67" spans="1:25">
      <c r="A20" s="9" t="s">
        <v>58</v>
      </c>
      <c r="B20" s="26" t="n"/>
      <c r="C20" s="26" t="n"/>
      <c r="D20" s="11" t="n">
        <v>92.68000000000001</v>
      </c>
      <c r="E20" s="11" t="n">
        <v>84.05</v>
      </c>
      <c r="F20" s="11" t="n">
        <v>87.55</v>
      </c>
      <c r="G20" s="11" t="n">
        <v>8.630000000000001</v>
      </c>
      <c r="H20" s="11" t="n">
        <v>88.15000000000001</v>
      </c>
      <c r="I20" s="11" t="n">
        <v>94.33</v>
      </c>
      <c r="J20" s="11" t="n">
        <v>87.87</v>
      </c>
      <c r="K20" s="11" t="n">
        <v>90.48999999999999</v>
      </c>
      <c r="L20" s="11" t="n">
        <v>6.46</v>
      </c>
      <c r="M20" s="11" t="n">
        <v>90.98999999999999</v>
      </c>
      <c r="N20" s="11" t="n">
        <v>97.25</v>
      </c>
      <c r="O20" s="11" t="n">
        <v>94.98</v>
      </c>
      <c r="P20" s="11" t="n">
        <v>95.90000000000001</v>
      </c>
      <c r="Q20" s="14">
        <f>N20-O20</f>
        <v/>
      </c>
      <c r="R20" s="11">
        <f>2*N20*O20/(N20+O20)</f>
        <v/>
      </c>
      <c r="S20" s="11" t="n">
        <v>85.13</v>
      </c>
      <c r="T20" s="11" t="n">
        <v>72.59999999999999</v>
      </c>
      <c r="U20" s="12" t="n">
        <v>77.64</v>
      </c>
      <c r="V20" s="11">
        <f>S20-T20</f>
        <v/>
      </c>
      <c r="W20" s="11">
        <f>2*S20*T20/(S20+T20)</f>
        <v/>
      </c>
    </row>
    <row customHeight="1" ht="27.25" r="21" s="67" spans="1:25">
      <c r="A21" s="9" t="s">
        <v>59</v>
      </c>
      <c r="B21" s="16" t="n"/>
      <c r="C21" s="16" t="n"/>
      <c r="D21" s="11" t="n">
        <v>93.52</v>
      </c>
      <c r="E21" s="11" t="n">
        <v>84.34999999999999</v>
      </c>
      <c r="F21" s="11" t="n">
        <v>87.88</v>
      </c>
      <c r="G21" s="14" t="n"/>
      <c r="H21" s="11" t="n">
        <v>88.7</v>
      </c>
      <c r="I21" s="11" t="n">
        <v>93.8</v>
      </c>
      <c r="J21" s="11" t="n">
        <v>86.40000000000001</v>
      </c>
      <c r="K21" s="11" t="n">
        <v>89.48999999999999</v>
      </c>
      <c r="L21" s="14" t="n"/>
      <c r="M21" s="11" t="n">
        <v>89.95</v>
      </c>
      <c r="N21" s="11" t="n">
        <v>96.65000000000001</v>
      </c>
      <c r="O21" s="11" t="n">
        <v>92.79000000000001</v>
      </c>
      <c r="P21" s="11" t="n">
        <v>94.42</v>
      </c>
      <c r="Q21" s="14">
        <f>N21-O21</f>
        <v/>
      </c>
      <c r="R21" s="11">
        <f>2*N21*O21/(N21+O21)</f>
        <v/>
      </c>
      <c r="S21" s="11" t="n">
        <v>84.81999999999999</v>
      </c>
      <c r="T21" s="11" t="n">
        <v>68.88</v>
      </c>
      <c r="U21" s="12" t="n">
        <v>74.98999999999999</v>
      </c>
      <c r="V21" s="11">
        <f>S21-T21</f>
        <v/>
      </c>
      <c r="W21" s="11">
        <f>2*S21*T21/(S21+T21)</f>
        <v/>
      </c>
    </row>
    <row customHeight="1" ht="27.25" r="22" s="67" spans="1:25">
      <c r="A22" s="9" t="s">
        <v>60</v>
      </c>
      <c r="B22" s="16" t="n"/>
      <c r="C22" s="16" t="n"/>
      <c r="D22" s="11" t="n">
        <v>93.01000000000001</v>
      </c>
      <c r="E22" s="11" t="n">
        <v>84.22</v>
      </c>
      <c r="F22" s="11" t="n">
        <v>87.86</v>
      </c>
      <c r="G22" s="11" t="n">
        <v>8.789999999999999</v>
      </c>
      <c r="H22" s="11" t="n">
        <v>88.40000000000001</v>
      </c>
      <c r="I22" s="11" t="n">
        <v>94.22</v>
      </c>
      <c r="J22" s="11" t="n">
        <v>87.48</v>
      </c>
      <c r="K22" s="11" t="n">
        <v>90.5</v>
      </c>
      <c r="L22" s="11" t="n">
        <v>6.74</v>
      </c>
      <c r="M22" s="11" t="n">
        <v>90.72</v>
      </c>
      <c r="N22" s="11" t="n">
        <v>97.27</v>
      </c>
      <c r="O22" s="11" t="n">
        <v>94.70999999999999</v>
      </c>
      <c r="P22" s="11" t="n">
        <v>95.69</v>
      </c>
      <c r="Q22" s="14">
        <f>N22-O22</f>
        <v/>
      </c>
      <c r="R22" s="11">
        <f>2*N22*O22/(N22+O22)</f>
        <v/>
      </c>
      <c r="S22" s="11" t="n">
        <v>85.33</v>
      </c>
      <c r="T22" s="11" t="n">
        <v>72.75</v>
      </c>
      <c r="U22" s="12" t="n">
        <v>77.86</v>
      </c>
      <c r="V22" s="11">
        <f>S22-T22</f>
        <v/>
      </c>
      <c r="W22" s="11">
        <f>2*S22*T22/(S22+T22)</f>
        <v/>
      </c>
    </row>
    <row customHeight="1" ht="27.25" r="23" s="67" spans="1:25">
      <c r="A23" s="9" t="s">
        <v>61</v>
      </c>
      <c r="B23" s="16" t="n"/>
      <c r="C23" s="16" t="n"/>
      <c r="D23" s="11" t="n">
        <v>93.09999999999999</v>
      </c>
      <c r="E23" s="11" t="n">
        <v>83.72</v>
      </c>
      <c r="F23" s="11" t="n">
        <v>87.79000000000001</v>
      </c>
      <c r="G23" s="14" t="n"/>
      <c r="H23" s="11" t="n">
        <v>88.16</v>
      </c>
      <c r="I23" s="11" t="n">
        <v>94.13</v>
      </c>
      <c r="J23" s="11" t="n">
        <v>86.97</v>
      </c>
      <c r="K23" s="11" t="n">
        <v>90.05</v>
      </c>
      <c r="L23" s="14" t="n"/>
      <c r="M23" s="11" t="n">
        <v>90.41</v>
      </c>
      <c r="N23" s="11" t="n">
        <v>96.63</v>
      </c>
      <c r="O23" s="11" t="n">
        <v>92.53</v>
      </c>
      <c r="P23" s="11" t="n">
        <v>94.28</v>
      </c>
      <c r="Q23" s="14">
        <f>N23-O23</f>
        <v/>
      </c>
      <c r="R23" s="11">
        <f>2*N23*O23/(N23+O23)</f>
        <v/>
      </c>
      <c r="S23" s="11" t="n">
        <v>84.62</v>
      </c>
      <c r="T23" s="11" t="n">
        <v>69.09999999999999</v>
      </c>
      <c r="U23" s="12" t="n">
        <v>75.40000000000001</v>
      </c>
      <c r="V23" s="11">
        <f>S23-T23</f>
        <v/>
      </c>
      <c r="W23" s="11">
        <f>2*S23*T23/(S23+T23)</f>
        <v/>
      </c>
    </row>
    <row customHeight="1" ht="27.25" r="24" s="67" spans="1:25">
      <c r="A24" s="9" t="s">
        <v>62</v>
      </c>
      <c r="B24" s="16" t="n"/>
      <c r="C24" s="16" t="n"/>
      <c r="D24" s="11" t="n">
        <v>92.42</v>
      </c>
      <c r="E24" s="11" t="n">
        <v>83.38</v>
      </c>
      <c r="F24" s="11" t="n">
        <v>87.08</v>
      </c>
      <c r="G24" s="11" t="n">
        <v>9.039999999999999</v>
      </c>
      <c r="H24" s="11" t="n">
        <v>87.67</v>
      </c>
      <c r="I24" s="11" t="n">
        <v>94.56999999999999</v>
      </c>
      <c r="J24" s="11" t="n">
        <v>87.87</v>
      </c>
      <c r="K24" s="11" t="n">
        <v>90.76000000000001</v>
      </c>
      <c r="L24" s="11" t="n">
        <v>6.7</v>
      </c>
      <c r="M24" s="11" t="n">
        <v>91.09999999999999</v>
      </c>
      <c r="N24" s="11" t="n">
        <v>97.28</v>
      </c>
      <c r="O24" s="11" t="n">
        <v>94.88</v>
      </c>
      <c r="P24" s="11" t="n">
        <v>95.83</v>
      </c>
      <c r="Q24" s="14">
        <f>N24-O24</f>
        <v/>
      </c>
      <c r="R24" s="11">
        <f>2*N24*O24/(N24+O24)</f>
        <v/>
      </c>
      <c r="S24" s="11" t="n">
        <v>85.33</v>
      </c>
      <c r="T24" s="11" t="n">
        <v>71.84999999999999</v>
      </c>
      <c r="U24" s="12" t="n">
        <v>77.53</v>
      </c>
      <c r="V24" s="11">
        <f>S24-T24</f>
        <v/>
      </c>
      <c r="W24" s="11">
        <f>2*S24*T24/(S24+T24)</f>
        <v/>
      </c>
    </row>
    <row customHeight="1" ht="27.25" r="25" s="67" spans="1:25">
      <c r="A25" s="9" t="s">
        <v>63</v>
      </c>
      <c r="B25" s="16" t="n"/>
      <c r="C25" s="16" t="n"/>
      <c r="D25" s="11" t="n">
        <v>92.84999999999999</v>
      </c>
      <c r="E25" s="11" t="n">
        <v>83.72</v>
      </c>
      <c r="F25" s="11" t="n">
        <v>87.48999999999999</v>
      </c>
      <c r="G25" s="14" t="n"/>
      <c r="H25" s="11" t="n">
        <v>88.05</v>
      </c>
      <c r="I25" s="11" t="n">
        <v>94.34999999999999</v>
      </c>
      <c r="J25" s="11" t="n">
        <v>87.01000000000001</v>
      </c>
      <c r="K25" s="11" t="n">
        <v>90.18000000000001</v>
      </c>
      <c r="L25" s="14" t="n"/>
      <c r="M25" s="11" t="n">
        <v>90.53</v>
      </c>
      <c r="N25" s="11" t="n">
        <v>96.65000000000001</v>
      </c>
      <c r="O25" s="11" t="n">
        <v>92.59</v>
      </c>
      <c r="P25" s="11" t="n">
        <v>94.29000000000001</v>
      </c>
      <c r="Q25" s="14">
        <f>N25-O25</f>
        <v/>
      </c>
      <c r="R25" s="11">
        <f>2*N25*O25/(N25+O25)</f>
        <v/>
      </c>
      <c r="S25" s="11" t="n">
        <v>85.43000000000001</v>
      </c>
      <c r="T25" s="11" t="n">
        <v>69.87</v>
      </c>
      <c r="U25" s="12" t="n">
        <v>76.23</v>
      </c>
      <c r="V25" s="11">
        <f>S25-T25</f>
        <v/>
      </c>
      <c r="W25" s="11">
        <f>2*S25*T25/(S25+T25)</f>
        <v/>
      </c>
    </row>
    <row customHeight="1" ht="27.25" r="26" s="67" spans="1:25">
      <c r="A26" s="9" t="s">
        <v>64</v>
      </c>
      <c r="B26" s="16" t="n"/>
      <c r="C26" s="16" t="n"/>
      <c r="D26" s="11" t="n">
        <v>92.09</v>
      </c>
      <c r="E26" s="11" t="n">
        <v>83.8</v>
      </c>
      <c r="F26" s="11" t="n">
        <v>87.06</v>
      </c>
      <c r="G26" s="11" t="n">
        <v>8.289999999999999</v>
      </c>
      <c r="H26" s="11" t="n">
        <v>87.75</v>
      </c>
      <c r="I26" s="11" t="n">
        <v>93.77</v>
      </c>
      <c r="J26" s="11" t="n">
        <v>87.33</v>
      </c>
      <c r="K26" s="11" t="n">
        <v>90.09999999999999</v>
      </c>
      <c r="L26" s="11" t="n">
        <v>6.44</v>
      </c>
      <c r="M26" s="11" t="n">
        <v>90.44</v>
      </c>
      <c r="N26" s="11" t="n">
        <v>97.2</v>
      </c>
      <c r="O26" s="11" t="n">
        <v>95.01000000000001</v>
      </c>
      <c r="P26" s="11" t="n">
        <v>95.84999999999999</v>
      </c>
      <c r="Q26" s="14">
        <f>N26-O26</f>
        <v/>
      </c>
      <c r="R26" s="11">
        <f>2*N26*O26/(N26+O26)</f>
        <v/>
      </c>
      <c r="S26" s="11" t="n">
        <v>83.81999999999999</v>
      </c>
      <c r="T26" s="11" t="n">
        <v>71.92</v>
      </c>
      <c r="U26" s="12" t="n">
        <v>76.52</v>
      </c>
      <c r="V26" s="11">
        <f>S26-T26</f>
        <v/>
      </c>
      <c r="W26" s="11">
        <f>2*S26*T26/(S26+T26)</f>
        <v/>
      </c>
      <c r="X26" s="25" t="n">
        <v>0.02</v>
      </c>
    </row>
    <row customHeight="1" ht="27.25" r="27" s="67" spans="1:25">
      <c r="A27" s="9" t="s">
        <v>65</v>
      </c>
      <c r="B27" s="16" t="n"/>
      <c r="C27" s="16" t="n"/>
      <c r="D27" s="11" t="n">
        <v>92.26000000000001</v>
      </c>
      <c r="E27" s="11" t="n">
        <v>83.42</v>
      </c>
      <c r="F27" s="11" t="n">
        <v>87.01000000000001</v>
      </c>
      <c r="G27" s="11" t="n">
        <v>8.84</v>
      </c>
      <c r="H27" s="11" t="n">
        <v>87.62</v>
      </c>
      <c r="I27" s="11" t="n">
        <v>93.87</v>
      </c>
      <c r="J27" s="11" t="n">
        <v>87.45999999999999</v>
      </c>
      <c r="K27" s="11" t="n">
        <v>90.18000000000001</v>
      </c>
      <c r="L27" s="11" t="n">
        <v>6.41</v>
      </c>
      <c r="M27" s="11" t="n">
        <v>90.55</v>
      </c>
      <c r="N27" s="11" t="n">
        <v>97.3</v>
      </c>
      <c r="O27" s="11" t="n">
        <v>95.3</v>
      </c>
      <c r="P27" s="11" t="n">
        <v>96.09999999999999</v>
      </c>
      <c r="Q27" s="14">
        <f>N27-O27</f>
        <v/>
      </c>
      <c r="R27" s="11">
        <f>2*N27*O27/(N27+O27)</f>
        <v/>
      </c>
      <c r="S27" s="11" t="n">
        <v>84.36</v>
      </c>
      <c r="T27" s="11" t="n">
        <v>71.84999999999999</v>
      </c>
      <c r="U27" s="12" t="n">
        <v>76.98999999999999</v>
      </c>
      <c r="V27" s="11">
        <f>S27-T27</f>
        <v/>
      </c>
      <c r="W27" s="11">
        <f>2*S27*T27/(S27+T27)</f>
        <v/>
      </c>
    </row>
    <row customHeight="1" ht="27.25" r="28" s="67" spans="1:25">
      <c r="A28" s="9" t="s">
        <v>66</v>
      </c>
      <c r="B28" s="16" t="n"/>
      <c r="C28" s="16" t="n"/>
      <c r="D28" s="11" t="n">
        <v>92.42</v>
      </c>
      <c r="E28" s="11" t="n">
        <v>83.72</v>
      </c>
      <c r="F28" s="11" t="n">
        <v>87.12</v>
      </c>
      <c r="G28" s="11" t="n">
        <v>8.699999999999999</v>
      </c>
      <c r="H28" s="11" t="n">
        <v>87.86</v>
      </c>
      <c r="I28" s="11" t="n">
        <v>93.77</v>
      </c>
      <c r="J28" s="11" t="n">
        <v>87.44</v>
      </c>
      <c r="K28" s="11" t="n">
        <v>90.16</v>
      </c>
      <c r="L28" s="11" t="n">
        <v>6.33</v>
      </c>
      <c r="M28" s="11" t="n">
        <v>90.48999999999999</v>
      </c>
      <c r="N28" s="11" t="n">
        <v>97.31999999999999</v>
      </c>
      <c r="O28" s="11" t="n">
        <v>95.25</v>
      </c>
      <c r="P28" s="11" t="n">
        <v>96.05</v>
      </c>
      <c r="Q28" s="14">
        <f>N28-O28</f>
        <v/>
      </c>
      <c r="R28" s="11">
        <f>2*N28*O28/(N28+O28)</f>
        <v/>
      </c>
      <c r="S28" s="11" t="n">
        <v>83.89</v>
      </c>
      <c r="T28" s="11" t="n">
        <v>72.58</v>
      </c>
      <c r="U28" s="12" t="n">
        <v>77.11</v>
      </c>
      <c r="V28" s="11">
        <f>S28-T28</f>
        <v/>
      </c>
      <c r="W28" s="11">
        <f>2*S28*T28/(S28+T28)</f>
        <v/>
      </c>
    </row>
    <row customHeight="1" ht="27.25" r="29" s="67" spans="1:25">
      <c r="A29" s="9" t="s">
        <v>67</v>
      </c>
      <c r="B29" s="16" t="n"/>
      <c r="C29" s="16" t="n"/>
      <c r="D29" s="11" t="n">
        <v>92.34</v>
      </c>
      <c r="E29" s="11" t="n">
        <v>83.72</v>
      </c>
      <c r="F29" s="11" t="n">
        <v>87.05</v>
      </c>
      <c r="G29" s="11" t="n">
        <v>8.619999999999999</v>
      </c>
      <c r="H29" s="11" t="n">
        <v>87.81999999999999</v>
      </c>
      <c r="I29" s="11" t="n">
        <v>94.06999999999999</v>
      </c>
      <c r="J29" s="11" t="n">
        <v>87.36</v>
      </c>
      <c r="K29" s="11" t="n">
        <v>90.22</v>
      </c>
      <c r="L29" s="11" t="n">
        <v>6.71</v>
      </c>
      <c r="M29" s="11" t="n">
        <v>90.59</v>
      </c>
      <c r="N29" s="11" t="n">
        <v>97.42</v>
      </c>
      <c r="O29" s="11" t="n">
        <v>95.41</v>
      </c>
      <c r="P29" s="11" t="n">
        <v>96.23</v>
      </c>
      <c r="Q29" s="14">
        <f>N29-O29</f>
        <v/>
      </c>
      <c r="R29" s="11">
        <f>2*N29*O29/(N29+O29)</f>
        <v/>
      </c>
      <c r="S29" s="11" t="n">
        <v>84.31999999999999</v>
      </c>
      <c r="T29" s="11" t="n">
        <v>72.43000000000001</v>
      </c>
      <c r="U29" s="12" t="n">
        <v>77.18000000000001</v>
      </c>
      <c r="V29" s="11">
        <f>S29-T29</f>
        <v/>
      </c>
      <c r="W29" s="11">
        <f>2*S29*T29/(S29+T29)</f>
        <v/>
      </c>
    </row>
    <row customHeight="1" ht="27.25" r="30" s="67" spans="1:25">
      <c r="A30" s="9" t="s">
        <v>68</v>
      </c>
      <c r="B30" s="16" t="n"/>
      <c r="C30" s="16" t="n"/>
      <c r="D30" s="11" t="n">
        <v>92.59</v>
      </c>
      <c r="E30" s="11" t="n">
        <v>83.29000000000001</v>
      </c>
      <c r="F30" s="11" t="n">
        <v>86.98999999999999</v>
      </c>
      <c r="G30" s="11" t="n">
        <v>9.300000000000001</v>
      </c>
      <c r="H30" s="11" t="n">
        <v>87.69</v>
      </c>
      <c r="I30" s="11" t="n">
        <v>94.2</v>
      </c>
      <c r="J30" s="11" t="n">
        <v>88.12</v>
      </c>
      <c r="K30" s="11" t="n">
        <v>90.56</v>
      </c>
      <c r="L30" s="11" t="n">
        <v>6.08</v>
      </c>
      <c r="M30" s="11" t="n">
        <v>91.06</v>
      </c>
      <c r="N30" s="11" t="n">
        <v>97.37</v>
      </c>
      <c r="O30" s="11" t="n">
        <v>95.33</v>
      </c>
      <c r="P30" s="11" t="n">
        <v>96.18000000000001</v>
      </c>
      <c r="Q30" s="14">
        <f>N30-O30</f>
        <v/>
      </c>
      <c r="R30" s="11">
        <f>2*N30*O30/(N30+O30)</f>
        <v/>
      </c>
      <c r="S30" s="11" t="n">
        <v>85.33</v>
      </c>
      <c r="T30" s="11" t="n">
        <v>73.06999999999999</v>
      </c>
      <c r="U30" s="12" t="n">
        <v>78.01000000000001</v>
      </c>
      <c r="V30" s="11">
        <f>S30-T30</f>
        <v/>
      </c>
      <c r="W30" s="11">
        <f>2*S30*T30/(S30+T30)</f>
        <v/>
      </c>
    </row>
    <row customHeight="1" ht="27.25" r="31" s="67" spans="1:25">
      <c r="A31" s="9" t="s">
        <v>69</v>
      </c>
      <c r="B31" s="16" t="n"/>
      <c r="C31" s="16" t="n"/>
      <c r="D31" s="11" t="n">
        <v>92.76000000000001</v>
      </c>
      <c r="E31" s="11" t="n">
        <v>83.63</v>
      </c>
      <c r="F31" s="11" t="n">
        <v>87.20999999999999</v>
      </c>
      <c r="G31" s="14" t="n"/>
      <c r="H31" s="11" t="n">
        <v>87.95999999999999</v>
      </c>
      <c r="I31" s="11" t="n">
        <v>94.22</v>
      </c>
      <c r="J31" s="11" t="n">
        <v>87.59</v>
      </c>
      <c r="K31" s="11" t="n">
        <v>90.33</v>
      </c>
      <c r="L31" s="14" t="n"/>
      <c r="M31" s="11" t="n">
        <v>90.78</v>
      </c>
      <c r="N31" s="11" t="n">
        <v>96.78</v>
      </c>
      <c r="O31" s="11" t="n">
        <v>93.15000000000001</v>
      </c>
      <c r="P31" s="11" t="n">
        <v>94.69</v>
      </c>
      <c r="Q31" s="14">
        <f>N31-O31</f>
        <v/>
      </c>
      <c r="R31" s="11">
        <f>2*N31*O31/(N31+O31)</f>
        <v/>
      </c>
      <c r="S31" s="11" t="n">
        <v>84.95999999999999</v>
      </c>
      <c r="T31" s="11" t="n">
        <v>69.72</v>
      </c>
      <c r="U31" s="12" t="n">
        <v>75.76000000000001</v>
      </c>
      <c r="V31" s="11">
        <f>S31-T31</f>
        <v/>
      </c>
      <c r="W31" s="11">
        <f>2*S31*T31/(S31+T31)</f>
        <v/>
      </c>
    </row>
    <row customHeight="1" hidden="1" ht="27.25" r="32" s="67" spans="1:25">
      <c r="A32" s="9" t="s">
        <v>70</v>
      </c>
      <c r="B32" s="16" t="n"/>
      <c r="C32" s="16" t="n"/>
      <c r="D32" s="11" t="n">
        <v>92.76000000000001</v>
      </c>
      <c r="E32" s="11" t="n">
        <v>83.63</v>
      </c>
      <c r="F32" s="11" t="n">
        <v>87.3</v>
      </c>
      <c r="G32" s="11" t="n">
        <v>9.130000000000001</v>
      </c>
      <c r="H32" s="14" t="n"/>
      <c r="I32" s="11" t="n">
        <v>94.18000000000001</v>
      </c>
      <c r="J32" s="11" t="n">
        <v>87.68000000000001</v>
      </c>
      <c r="K32" s="11" t="n">
        <v>90.36</v>
      </c>
      <c r="L32" s="11" t="n">
        <v>6.5</v>
      </c>
      <c r="M32" s="11" t="n">
        <v>90.81</v>
      </c>
      <c r="N32" s="11" t="n">
        <v>97.40000000000001</v>
      </c>
      <c r="O32" s="11" t="n">
        <v>95.23</v>
      </c>
      <c r="P32" s="11" t="n">
        <v>96.12</v>
      </c>
      <c r="Q32" s="14">
        <f>N32-O32</f>
        <v/>
      </c>
      <c r="R32" s="11" t="n"/>
      <c r="S32" s="11" t="n">
        <v>85.7</v>
      </c>
      <c r="T32" s="11" t="n">
        <v>73.08</v>
      </c>
      <c r="U32" s="12" t="n">
        <v>78.2</v>
      </c>
      <c r="V32" s="11" t="n"/>
      <c r="W32" s="11" t="n"/>
    </row>
    <row customHeight="1" hidden="1" ht="27.25" r="33" s="67" spans="1:25">
      <c r="A33" s="9" t="s">
        <v>71</v>
      </c>
      <c r="B33" s="16" t="n"/>
      <c r="C33" s="16" t="n"/>
      <c r="D33" s="11" t="n">
        <v>92.93000000000001</v>
      </c>
      <c r="E33" s="11" t="n">
        <v>83.33</v>
      </c>
      <c r="F33" s="11" t="n">
        <v>87.06999999999999</v>
      </c>
      <c r="G33" s="14" t="n"/>
      <c r="H33" s="14" t="n"/>
      <c r="I33" s="11" t="n">
        <v>94.08</v>
      </c>
      <c r="J33" s="11" t="n">
        <v>87</v>
      </c>
      <c r="K33" s="11" t="n">
        <v>90.05</v>
      </c>
      <c r="L33" s="14" t="n"/>
      <c r="M33" s="11" t="n">
        <v>90.40000000000001</v>
      </c>
      <c r="N33" s="11" t="n">
        <v>96.88</v>
      </c>
      <c r="O33" s="11" t="n">
        <v>93.03</v>
      </c>
      <c r="P33" s="11" t="n">
        <v>94.66</v>
      </c>
      <c r="Q33" s="14">
        <f>N33-O33</f>
        <v/>
      </c>
      <c r="R33" s="11" t="n"/>
      <c r="S33" s="11" t="n">
        <v>85.36</v>
      </c>
      <c r="T33" s="11" t="n">
        <v>69.93000000000001</v>
      </c>
      <c r="U33" s="12" t="n">
        <v>76.06999999999999</v>
      </c>
      <c r="V33" s="11" t="n"/>
      <c r="W33" s="11" t="n"/>
    </row>
    <row customHeight="1" hidden="1" ht="27.25" r="34" s="67" spans="1:25">
      <c r="A34" s="9" t="s">
        <v>72</v>
      </c>
      <c r="B34" s="16" t="n"/>
      <c r="C34" s="16" t="n"/>
      <c r="D34" s="11" t="n">
        <v>92.34</v>
      </c>
      <c r="E34" s="11" t="n">
        <v>83.38</v>
      </c>
      <c r="F34" s="11" t="n">
        <v>86.98999999999999</v>
      </c>
      <c r="G34" s="11" t="n">
        <v>8.960000000000001</v>
      </c>
      <c r="H34" s="14" t="n"/>
      <c r="I34" s="11" t="n">
        <v>94.28</v>
      </c>
      <c r="J34" s="11" t="n">
        <v>88.13</v>
      </c>
      <c r="K34" s="11" t="n">
        <v>90.79000000000001</v>
      </c>
      <c r="L34" s="11" t="n">
        <v>6.15</v>
      </c>
      <c r="M34" s="11" t="n">
        <v>91.09999999999999</v>
      </c>
      <c r="N34" s="11" t="n">
        <v>97.25</v>
      </c>
      <c r="O34" s="11" t="n">
        <v>95.15000000000001</v>
      </c>
      <c r="P34" s="11" t="n">
        <v>95.93000000000001</v>
      </c>
      <c r="Q34" s="14">
        <f>N34-O34</f>
        <v/>
      </c>
      <c r="R34" s="11" t="n"/>
      <c r="S34" s="11" t="n">
        <v>85.53</v>
      </c>
      <c r="T34" s="11" t="n">
        <v>73.3</v>
      </c>
      <c r="U34" s="12" t="n">
        <v>78.38</v>
      </c>
      <c r="V34" s="11" t="n"/>
      <c r="W34" s="11" t="n"/>
    </row>
    <row customHeight="1" hidden="1" ht="27.25" r="35" s="67" spans="1:25">
      <c r="A35" s="9" t="s">
        <v>73</v>
      </c>
      <c r="B35" s="27" t="n"/>
      <c r="C35" s="27" t="n"/>
      <c r="D35" s="65" t="n">
        <v>92.93000000000001</v>
      </c>
      <c r="E35" s="65" t="n">
        <v>83.38</v>
      </c>
      <c r="F35" s="65" t="n">
        <v>87.23999999999999</v>
      </c>
      <c r="G35" s="29" t="n"/>
      <c r="H35" s="29" t="n"/>
      <c r="I35" s="65" t="n">
        <v>94.33</v>
      </c>
      <c r="J35" s="65" t="n">
        <v>87.37</v>
      </c>
      <c r="K35" s="65" t="n">
        <v>90.31</v>
      </c>
      <c r="L35" s="29" t="n"/>
      <c r="M35" s="11" t="n">
        <v>90.72</v>
      </c>
      <c r="N35" s="65" t="n">
        <v>96.62</v>
      </c>
      <c r="O35" s="65" t="n">
        <v>93.05</v>
      </c>
      <c r="P35" s="65" t="n">
        <v>94.56</v>
      </c>
      <c r="Q35" s="14">
        <f>N35-O35</f>
        <v/>
      </c>
      <c r="R35" s="11" t="n"/>
      <c r="S35" s="65" t="n">
        <v>85.09</v>
      </c>
      <c r="T35" s="65" t="n">
        <v>70.22</v>
      </c>
      <c r="U35" s="30" t="n">
        <v>76.14</v>
      </c>
      <c r="V35" s="11" t="n"/>
      <c r="W35" s="11" t="n"/>
    </row>
    <row customHeight="1" ht="27.25" r="36" s="67" spans="1:25">
      <c r="A36" s="31" t="s">
        <v>34</v>
      </c>
      <c r="B36" s="32" t="n"/>
      <c r="C36" s="32" t="n"/>
      <c r="D36" s="33" t="n">
        <v>1.35</v>
      </c>
      <c r="E36" s="33" t="n">
        <v>0.68</v>
      </c>
      <c r="F36" s="33" t="n">
        <v>3.53</v>
      </c>
      <c r="G36" s="34" t="n"/>
      <c r="H36" s="34" t="n"/>
      <c r="I36" s="33" t="n">
        <v>0.52</v>
      </c>
      <c r="J36" s="33" t="n">
        <v>0.95</v>
      </c>
      <c r="K36" s="33" t="n">
        <v>1.59</v>
      </c>
      <c r="L36" s="34" t="n"/>
      <c r="M36" s="11" t="n">
        <v>0.67</v>
      </c>
      <c r="N36" s="33" t="n">
        <v>0.08</v>
      </c>
      <c r="O36" s="33" t="n">
        <v>1.31</v>
      </c>
      <c r="P36" s="33" t="n">
        <v>0.96</v>
      </c>
      <c r="Q36" s="14" t="n"/>
      <c r="R36" s="11" t="n"/>
      <c r="S36" s="33" t="n">
        <v>1.04</v>
      </c>
      <c r="T36" s="33" t="n">
        <v>0.6</v>
      </c>
      <c r="U36" s="35" t="n">
        <v>1.83</v>
      </c>
      <c r="V36" s="11" t="n"/>
      <c r="W36" s="11" t="n"/>
    </row>
  </sheetData>
  <autoFilter ref="A1:W36"/>
  <mergeCells count="5">
    <mergeCell ref="D1:H1"/>
    <mergeCell ref="I1:M1"/>
    <mergeCell ref="N1:R1"/>
    <mergeCell ref="S1:W1"/>
    <mergeCell ref="Y2:Y13"/>
  </mergeCells>
  <conditionalFormatting sqref="D3:D13">
    <cfRule dxfId="6" priority="156" rank="1" type="top10"/>
    <cfRule dxfId="5" priority="113" rank="1" type="top10"/>
    <cfRule dxfId="4" priority="112" rank="1" type="top10"/>
    <cfRule dxfId="3" priority="96" rank="1" type="top10"/>
    <cfRule dxfId="2" priority="95" rank="1" type="top10"/>
    <cfRule dxfId="1" priority="94" rank="1" type="top10"/>
  </conditionalFormatting>
  <conditionalFormatting sqref="D16:D35">
    <cfRule dxfId="0" priority="144" rank="3" type="top10"/>
    <cfRule dxfId="4" priority="168" rank="1" type="top10"/>
  </conditionalFormatting>
  <conditionalFormatting sqref="E3:E13">
    <cfRule dxfId="6" priority="93" rank="1" type="top10"/>
    <cfRule dxfId="5" priority="92" rank="1" type="top10"/>
    <cfRule dxfId="4" priority="91" rank="1" type="top10"/>
    <cfRule dxfId="3" priority="90" rank="1" type="top10"/>
    <cfRule dxfId="2" priority="89" rank="1" type="top10"/>
    <cfRule dxfId="1" priority="88" rank="1" type="top10"/>
  </conditionalFormatting>
  <conditionalFormatting sqref="E16:E35">
    <cfRule dxfId="0" priority="142" rank="3" type="top10"/>
    <cfRule dxfId="4" priority="143" rank="1" type="top10"/>
  </conditionalFormatting>
  <conditionalFormatting sqref="F3:F13">
    <cfRule dxfId="6" priority="87" rank="1" type="top10"/>
    <cfRule dxfId="5" priority="86" rank="1" type="top10"/>
    <cfRule dxfId="4" priority="85" rank="1" type="top10"/>
    <cfRule dxfId="3" priority="84" rank="1" type="top10"/>
    <cfRule dxfId="2" priority="83" rank="1" type="top10"/>
    <cfRule dxfId="1" priority="82" rank="1" type="top10"/>
  </conditionalFormatting>
  <conditionalFormatting sqref="G3:G13">
    <cfRule bottom="1" dxfId="7" priority="23" rank="1" type="top10"/>
  </conditionalFormatting>
  <conditionalFormatting sqref="I3:I13">
    <cfRule dxfId="1" priority="76" rank="1" type="top10"/>
    <cfRule dxfId="2" priority="77" rank="1" type="top10"/>
    <cfRule dxfId="3" priority="78" rank="1" type="top10"/>
    <cfRule dxfId="4" priority="79" rank="1" type="top10"/>
    <cfRule dxfId="5" priority="80" rank="1" type="top10"/>
    <cfRule dxfId="6" priority="81" rank="1" type="top10"/>
  </conditionalFormatting>
  <conditionalFormatting sqref="I16:I35">
    <cfRule dxfId="0" priority="138" rank="3" type="top10"/>
    <cfRule dxfId="4" priority="139" rank="1" type="top10"/>
  </conditionalFormatting>
  <conditionalFormatting sqref="J3:J13">
    <cfRule dxfId="1" priority="70" rank="1" type="top10"/>
    <cfRule dxfId="2" priority="71" rank="1" type="top10"/>
    <cfRule dxfId="3" priority="72" rank="1" type="top10"/>
    <cfRule dxfId="4" priority="73" rank="1" type="top10"/>
    <cfRule dxfId="5" priority="74" rank="1" type="top10"/>
    <cfRule dxfId="6" priority="75" rank="1" type="top10"/>
  </conditionalFormatting>
  <conditionalFormatting sqref="J16:J35">
    <cfRule dxfId="0" priority="136" rank="3" type="top10"/>
    <cfRule dxfId="4" priority="137" rank="1" type="top10"/>
  </conditionalFormatting>
  <conditionalFormatting sqref="K3:K13">
    <cfRule dxfId="1" priority="64" rank="1" type="top10"/>
    <cfRule dxfId="2" priority="65" rank="1" type="top10"/>
    <cfRule dxfId="3" priority="66" rank="1" type="top10"/>
    <cfRule dxfId="4" priority="67" rank="1" type="top10"/>
    <cfRule dxfId="5" priority="68" rank="1" type="top10"/>
    <cfRule dxfId="6" priority="69" rank="1" type="top10"/>
  </conditionalFormatting>
  <conditionalFormatting sqref="L3:L13">
    <cfRule dxfId="6" priority="18" rank="1" type="top10"/>
    <cfRule bottom="1" dxfId="7" priority="17" rank="1" type="top10"/>
  </conditionalFormatting>
  <conditionalFormatting sqref="N3:N13">
    <cfRule dxfId="1" priority="58" rank="1" type="top10"/>
    <cfRule dxfId="2" priority="59" rank="1" type="top10"/>
    <cfRule dxfId="3" priority="60" rank="1" type="top10"/>
    <cfRule dxfId="4" priority="61" rank="1" type="top10"/>
    <cfRule dxfId="5" priority="62" rank="1" type="top10"/>
    <cfRule dxfId="6" priority="63" rank="1" type="top10"/>
  </conditionalFormatting>
  <conditionalFormatting sqref="N16:N35">
    <cfRule dxfId="0" priority="132" rank="3" type="top10"/>
    <cfRule dxfId="4" priority="133" rank="1" type="top10"/>
  </conditionalFormatting>
  <conditionalFormatting sqref="O3:O13">
    <cfRule dxfId="1" priority="52" rank="1" type="top10"/>
    <cfRule dxfId="2" priority="53" rank="1" type="top10"/>
    <cfRule dxfId="3" priority="54" rank="1" type="top10"/>
    <cfRule dxfId="4" priority="55" rank="1" type="top10"/>
    <cfRule dxfId="5" priority="56" rank="1" type="top10"/>
    <cfRule dxfId="6" priority="57" rank="1" type="top10"/>
  </conditionalFormatting>
  <conditionalFormatting sqref="O16:O35">
    <cfRule dxfId="0" priority="130" rank="3" type="top10"/>
    <cfRule dxfId="4" priority="131" rank="1" type="top10"/>
  </conditionalFormatting>
  <conditionalFormatting sqref="P3:P13">
    <cfRule dxfId="1" priority="46" rank="1" type="top10"/>
    <cfRule dxfId="2" priority="47" rank="1" type="top10"/>
    <cfRule dxfId="3" priority="48" rank="1" type="top10"/>
    <cfRule dxfId="4" priority="49" rank="1" type="top10"/>
    <cfRule dxfId="5" priority="50" rank="1" type="top10"/>
    <cfRule dxfId="6" priority="51" rank="1" type="top10"/>
  </conditionalFormatting>
  <conditionalFormatting sqref="P16:P35">
    <cfRule dxfId="0" priority="128" rank="3" type="top10"/>
    <cfRule dxfId="4" priority="129" rank="1" type="top10"/>
  </conditionalFormatting>
  <conditionalFormatting sqref="Q3:Q13">
    <cfRule bottom="1" dxfId="7" priority="10" rank="1" type="top10"/>
  </conditionalFormatting>
  <conditionalFormatting sqref="Q14:Q36">
    <cfRule dxfId="6" priority="148" rank="1" type="top10"/>
  </conditionalFormatting>
  <conditionalFormatting sqref="S3:S13">
    <cfRule dxfId="1" priority="40" rank="1" type="top10"/>
    <cfRule dxfId="2" priority="41" rank="1" type="top10"/>
    <cfRule dxfId="3" priority="42" rank="1" type="top10"/>
    <cfRule dxfId="4" priority="43" rank="1" type="top10"/>
    <cfRule dxfId="5" priority="44" rank="1" type="top10"/>
    <cfRule dxfId="6" priority="45" rank="1" type="top10"/>
  </conditionalFormatting>
  <conditionalFormatting sqref="S16:S35">
    <cfRule dxfId="0" priority="126" rank="3" type="top10"/>
    <cfRule dxfId="4" priority="127" rank="1" type="top10"/>
  </conditionalFormatting>
  <conditionalFormatting sqref="T3:T13">
    <cfRule dxfId="1" priority="34" rank="1" type="top10"/>
    <cfRule dxfId="2" priority="35" rank="1" type="top10"/>
    <cfRule dxfId="3" priority="36" rank="1" type="top10"/>
    <cfRule dxfId="4" priority="37" rank="1" type="top10"/>
    <cfRule dxfId="5" priority="38" rank="1" type="top10"/>
    <cfRule dxfId="6" priority="39" rank="1" type="top10"/>
  </conditionalFormatting>
  <conditionalFormatting sqref="T16:T35">
    <cfRule dxfId="0" priority="124" rank="3" type="top10"/>
    <cfRule dxfId="4" priority="125" rank="1" type="top10"/>
  </conditionalFormatting>
  <conditionalFormatting sqref="U3:U13">
    <cfRule dxfId="1" priority="28" rank="1" type="top10"/>
    <cfRule dxfId="2" priority="29" rank="1" type="top10"/>
    <cfRule dxfId="3" priority="30" rank="1" type="top10"/>
    <cfRule dxfId="4" priority="31" rank="1" type="top10"/>
    <cfRule dxfId="5" priority="32" rank="1" type="top10"/>
    <cfRule dxfId="6" priority="33" rank="1" type="top10"/>
  </conditionalFormatting>
  <conditionalFormatting sqref="U16:U35">
    <cfRule dxfId="0" priority="122" rank="3" type="top10"/>
    <cfRule dxfId="4" priority="123" rank="1" type="top10"/>
  </conditionalFormatting>
  <conditionalFormatting sqref="V3:V13">
    <cfRule bottom="1" dxfId="7" priority="9" rank="1" type="top10"/>
  </conditionalFormatting>
  <conditionalFormatting sqref="V14:V36">
    <cfRule dxfId="6" priority="27" rank="1" type="top10"/>
  </conditionalFormatting>
  <conditionalFormatting sqref="W14:W36">
    <cfRule dxfId="6" priority="26" rank="1" type="top10"/>
  </conditionalFormatting>
  <conditionalFormatting sqref="G3:G13 G14:H16 G34:H34 G18:H18 G20:H20 G22:H22 G24:H24 G26:H30 G32:H32 H17 H19 H21 H23 H25 H31">
    <cfRule dxfId="6" priority="154" rank="1" type="top10"/>
  </conditionalFormatting>
  <conditionalFormatting sqref="H3:H4 H6 H8 H10 H12 H5 H7 H9 H11 H13">
    <cfRule dxfId="6" priority="8" rank="1" type="top10"/>
  </conditionalFormatting>
  <conditionalFormatting sqref="M3:M4 M6 M8 M10 M12 M5 M7 M9 M11 M13">
    <cfRule dxfId="6" priority="7" rank="1" type="top10"/>
  </conditionalFormatting>
  <conditionalFormatting sqref="R3:R4 R6 R8 R10 R12 R5 R7 R9 R11 R13">
    <cfRule dxfId="6" priority="5" rank="1" type="top10"/>
  </conditionalFormatting>
  <conditionalFormatting sqref="W3:W4 W6 W8 W10 W12 W5 W7 W9 W11 W13">
    <cfRule dxfId="6" priority="1" rank="1" type="top10"/>
  </conditionalFormatting>
  <conditionalFormatting sqref="L14:M14 L15:L16 L32:M32 L26:L30 L24 L22 L20 L18 L34:M34 M33 M35:M36">
    <cfRule dxfId="6" priority="151" rank="1" type="top10"/>
  </conditionalFormatting>
  <conditionalFormatting sqref="R14 R32:R36">
    <cfRule dxfId="6" priority="24" rank="1" type="top10"/>
  </conditionalFormatting>
  <conditionalFormatting sqref="M15:M16 M18 M20 M22 M24 M26:M30 M17 M19 M21 M23 M25 M31">
    <cfRule dxfId="6" priority="3" rank="1" type="top10"/>
  </conditionalFormatting>
  <conditionalFormatting sqref="R15:R16 R18 R20 R22 R24 R26:R30 R17 R19 R21 R23 R25 R31">
    <cfRule dxfId="6" priority="2" rank="1" type="top10"/>
  </conditionalFormatting>
  <conditionalFormatting sqref="F16 F17:G17 F18 F19:G19 F20 F21:G21 F22 F23:G23 F24 F25:G25 F26:F30 F31:G31 F32 F33:H33 F34 F35:H35">
    <cfRule dxfId="0" priority="140" rank="3" type="top10"/>
    <cfRule dxfId="4" priority="141" rank="1" type="top10"/>
  </conditionalFormatting>
  <conditionalFormatting sqref="K16 K35:L35 K34 K33:L33 K32 K31:L31 K26:K30 K25:L25 K24 K23:L23 K22 K21:L21 K20 K19:L19 K18 K17:L17">
    <cfRule dxfId="0" priority="134" rank="3" type="top10"/>
    <cfRule dxfId="4" priority="135" rank="1" type="top10"/>
  </conditionalFormatting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牛马</dc:creator>
  <dcterms:created xmlns:dcterms="http://purl.org/dc/terms/" xmlns:xsi="http://www.w3.org/2001/XMLSchema-instance" xsi:type="dcterms:W3CDTF">2025-07-18T13:18:00Z</dcterms:created>
  <dcterms:modified xmlns:dcterms="http://purl.org/dc/terms/" xmlns:xsi="http://www.w3.org/2001/XMLSchema-instance" xsi:type="dcterms:W3CDTF">2026-07-12T13:30:45Z</dcterms:modified>
  <cp:lastModifiedBy>DELL</cp:lastModifiedBy>
</cp:coreProperties>
</file>